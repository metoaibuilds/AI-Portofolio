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etodiuswaruwu/Documents/Project AI/AI-Portofolio/"/>
    </mc:Choice>
  </mc:AlternateContent>
  <xr:revisionPtr revIDLastSave="0" documentId="13_ncr:1_{4EA29EE1-7912-2D4F-B142-A6DC07BE5F0F}" xr6:coauthVersionLast="47" xr6:coauthVersionMax="47" xr10:uidLastSave="{00000000-0000-0000-0000-000000000000}"/>
  <bookViews>
    <workbookView xWindow="17280" yWindow="660" windowWidth="12120" windowHeight="17240" activeTab="1" xr2:uid="{D8EA05C2-EC6B-1343-B746-6CA7308B8E18}"/>
  </bookViews>
  <sheets>
    <sheet name="Pricing" sheetId="1" r:id="rId1"/>
    <sheet name="Order" sheetId="2" r:id="rId2"/>
    <sheet name="Order Detail" sheetId="6" r:id="rId3"/>
    <sheet name="Expense" sheetId="3" r:id="rId4"/>
    <sheet name="Category" sheetId="4" r:id="rId5"/>
    <sheet name="Dashboard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00" i="2" l="1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" i="2"/>
  <c r="E4" i="2"/>
  <c r="E5" i="2"/>
  <c r="E6" i="2"/>
  <c r="E7" i="2"/>
  <c r="E8" i="2"/>
  <c r="E9" i="2"/>
  <c r="E10" i="2"/>
  <c r="E11" i="2"/>
  <c r="E12" i="2"/>
  <c r="E2" i="2"/>
  <c r="G2" i="2"/>
  <c r="H2" i="2"/>
  <c r="C24" i="6"/>
  <c r="C189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90" i="6"/>
  <c r="C191" i="6"/>
  <c r="C192" i="6"/>
  <c r="C193" i="6"/>
  <c r="C194" i="6"/>
  <c r="C195" i="6"/>
  <c r="C196" i="6"/>
  <c r="C197" i="6"/>
  <c r="C198" i="6"/>
  <c r="C199" i="6"/>
  <c r="C200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5" i="6"/>
  <c r="C26" i="6"/>
  <c r="C27" i="6"/>
  <c r="C28" i="6"/>
  <c r="C29" i="6"/>
  <c r="C30" i="6"/>
  <c r="C31" i="6"/>
  <c r="C2" i="6"/>
</calcChain>
</file>

<file path=xl/sharedStrings.xml><?xml version="1.0" encoding="utf-8"?>
<sst xmlns="http://schemas.openxmlformats.org/spreadsheetml/2006/main" count="160" uniqueCount="57">
  <si>
    <t>Item</t>
  </si>
  <si>
    <t>Category</t>
  </si>
  <si>
    <t>Price (IDR)</t>
  </si>
  <si>
    <t>Paket</t>
  </si>
  <si>
    <t>Single</t>
  </si>
  <si>
    <t>Couple</t>
  </si>
  <si>
    <t>Trio</t>
  </si>
  <si>
    <t>Package</t>
  </si>
  <si>
    <t>Add on</t>
  </si>
  <si>
    <t>Costume</t>
  </si>
  <si>
    <t>Extra 15 minutes</t>
  </si>
  <si>
    <t>Extra 10 minutes</t>
  </si>
  <si>
    <t>Extra 20 minutes</t>
  </si>
  <si>
    <t>Extra background</t>
  </si>
  <si>
    <t>Extra person</t>
  </si>
  <si>
    <t>Extra print</t>
  </si>
  <si>
    <t>Hanbok pria</t>
  </si>
  <si>
    <t>Hanbok wanita</t>
  </si>
  <si>
    <t>Animal</t>
  </si>
  <si>
    <t>Tanggal</t>
  </si>
  <si>
    <t>Jam</t>
  </si>
  <si>
    <t>Total (IDR)</t>
  </si>
  <si>
    <t>Payment Method</t>
  </si>
  <si>
    <t>Dates</t>
  </si>
  <si>
    <t>Description</t>
  </si>
  <si>
    <t>Total</t>
  </si>
  <si>
    <t>Method</t>
  </si>
  <si>
    <t>Salary</t>
  </si>
  <si>
    <t>Electricity</t>
  </si>
  <si>
    <t>Internet</t>
  </si>
  <si>
    <t>Apps</t>
  </si>
  <si>
    <t>Photo paper</t>
  </si>
  <si>
    <t>Printer tint</t>
  </si>
  <si>
    <t>Battery</t>
  </si>
  <si>
    <t>Other Operational</t>
  </si>
  <si>
    <t>Assets</t>
  </si>
  <si>
    <t>Rent</t>
  </si>
  <si>
    <t>Gaji operator</t>
  </si>
  <si>
    <t>Transfer</t>
  </si>
  <si>
    <t>BPJS</t>
  </si>
  <si>
    <t>BPJS kesehatan</t>
  </si>
  <si>
    <t>Listrik</t>
  </si>
  <si>
    <t>Indihome</t>
  </si>
  <si>
    <t>Adobe lightroom</t>
  </si>
  <si>
    <t>Kertas foto</t>
  </si>
  <si>
    <t>Group of 4</t>
  </si>
  <si>
    <t>Group of 5</t>
  </si>
  <si>
    <t>Group of 6</t>
  </si>
  <si>
    <t>Group of 7</t>
  </si>
  <si>
    <t>Group of 8</t>
  </si>
  <si>
    <t>KPI Ro</t>
  </si>
  <si>
    <t>Total Expense This Month</t>
  </si>
  <si>
    <t>Total Revenue This Month</t>
  </si>
  <si>
    <t>Net Income</t>
  </si>
  <si>
    <t>Total Order</t>
  </si>
  <si>
    <t>Order ID</t>
  </si>
  <si>
    <t>Darkmode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</si>
</sst>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" fontId="0" fillId="0" borderId="0" xfId="0" applyNumberFormat="1"/>
    <xf numFmtId="2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51F9D-BCD7-BC4D-8E68-C678342CC4EE}">
  <dimension ref="A1:C19"/>
  <sheetViews>
    <sheetView workbookViewId="0">
      <selection activeCell="C2" sqref="C2"/>
    </sheetView>
  </sheetViews>
  <sheetFormatPr baseColWidth="10" defaultRowHeight="16" x14ac:dyDescent="0.2"/>
  <cols>
    <col min="2" max="2" width="15" bestFit="1" customWidth="1"/>
  </cols>
  <sheetData>
    <row r="1" spans="1:3" x14ac:dyDescent="0.2">
      <c r="A1" t="s">
        <v>1</v>
      </c>
      <c r="B1" t="s">
        <v>0</v>
      </c>
      <c r="C1" t="s">
        <v>2</v>
      </c>
    </row>
    <row r="2" spans="1:3" x14ac:dyDescent="0.2">
      <c r="A2" t="s">
        <v>7</v>
      </c>
      <c r="B2" t="s">
        <v>4</v>
      </c>
      <c r="C2">
        <v>40000</v>
      </c>
    </row>
    <row r="3" spans="1:3" x14ac:dyDescent="0.2">
      <c r="A3" t="s">
        <v>7</v>
      </c>
      <c r="B3" t="s">
        <v>5</v>
      </c>
      <c r="C3">
        <v>70000</v>
      </c>
    </row>
    <row r="4" spans="1:3" x14ac:dyDescent="0.2">
      <c r="A4" t="s">
        <v>7</v>
      </c>
      <c r="B4" t="s">
        <v>6</v>
      </c>
      <c r="C4">
        <v>100000</v>
      </c>
    </row>
    <row r="5" spans="1:3" x14ac:dyDescent="0.2">
      <c r="A5" t="s">
        <v>7</v>
      </c>
      <c r="B5" t="s">
        <v>45</v>
      </c>
      <c r="C5">
        <v>135000</v>
      </c>
    </row>
    <row r="6" spans="1:3" x14ac:dyDescent="0.2">
      <c r="A6" t="s">
        <v>7</v>
      </c>
      <c r="B6" t="s">
        <v>46</v>
      </c>
      <c r="C6">
        <v>160000</v>
      </c>
    </row>
    <row r="7" spans="1:3" x14ac:dyDescent="0.2">
      <c r="A7" t="s">
        <v>7</v>
      </c>
      <c r="B7" t="s">
        <v>47</v>
      </c>
      <c r="C7">
        <v>185000</v>
      </c>
    </row>
    <row r="8" spans="1:3" x14ac:dyDescent="0.2">
      <c r="A8" t="s">
        <v>7</v>
      </c>
      <c r="B8" t="s">
        <v>48</v>
      </c>
      <c r="C8">
        <v>210000</v>
      </c>
    </row>
    <row r="9" spans="1:3" x14ac:dyDescent="0.2">
      <c r="A9" t="s">
        <v>7</v>
      </c>
      <c r="B9" t="s">
        <v>49</v>
      </c>
      <c r="C9">
        <v>235000</v>
      </c>
    </row>
    <row r="10" spans="1:3" x14ac:dyDescent="0.2">
      <c r="A10" t="s">
        <v>7</v>
      </c>
      <c r="B10" t="s">
        <v>56</v>
      </c>
      <c r="C10">
        <v>75000</v>
      </c>
    </row>
    <row r="11" spans="1:3" x14ac:dyDescent="0.2">
      <c r="A11" t="s">
        <v>8</v>
      </c>
      <c r="B11" t="s">
        <v>11</v>
      </c>
      <c r="C11">
        <v>30000</v>
      </c>
    </row>
    <row r="12" spans="1:3" x14ac:dyDescent="0.2">
      <c r="A12" t="s">
        <v>8</v>
      </c>
      <c r="B12" t="s">
        <v>10</v>
      </c>
      <c r="C12">
        <v>50000</v>
      </c>
    </row>
    <row r="13" spans="1:3" x14ac:dyDescent="0.2">
      <c r="A13" t="s">
        <v>8</v>
      </c>
      <c r="B13" t="s">
        <v>12</v>
      </c>
      <c r="C13">
        <v>60000</v>
      </c>
    </row>
    <row r="14" spans="1:3" x14ac:dyDescent="0.2">
      <c r="A14" t="s">
        <v>8</v>
      </c>
      <c r="B14" t="s">
        <v>13</v>
      </c>
      <c r="C14">
        <v>15000</v>
      </c>
    </row>
    <row r="15" spans="1:3" x14ac:dyDescent="0.2">
      <c r="A15" t="s">
        <v>8</v>
      </c>
      <c r="B15" t="s">
        <v>14</v>
      </c>
      <c r="C15">
        <v>25000</v>
      </c>
    </row>
    <row r="16" spans="1:3" x14ac:dyDescent="0.2">
      <c r="A16" t="s">
        <v>8</v>
      </c>
      <c r="B16" t="s">
        <v>15</v>
      </c>
      <c r="C16">
        <v>8000</v>
      </c>
    </row>
    <row r="17" spans="1:3" x14ac:dyDescent="0.2">
      <c r="A17" t="s">
        <v>9</v>
      </c>
      <c r="B17" t="s">
        <v>16</v>
      </c>
      <c r="C17">
        <v>20000</v>
      </c>
    </row>
    <row r="18" spans="1:3" x14ac:dyDescent="0.2">
      <c r="A18" t="s">
        <v>9</v>
      </c>
      <c r="B18" t="s">
        <v>17</v>
      </c>
      <c r="C18">
        <v>15000</v>
      </c>
    </row>
    <row r="19" spans="1:3" x14ac:dyDescent="0.2">
      <c r="A19" t="s">
        <v>9</v>
      </c>
      <c r="B19" t="s">
        <v>18</v>
      </c>
      <c r="C19">
        <v>15000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4C565-AFEF-3A4B-BBEA-9399202AC425}">
  <dimension ref="A1:H200"/>
  <sheetViews>
    <sheetView tabSelected="1" topLeftCell="A32" zoomScale="94" workbookViewId="0">
      <selection activeCell="E56" sqref="E56"/>
    </sheetView>
  </sheetViews>
  <sheetFormatPr baseColWidth="10" defaultRowHeight="16" x14ac:dyDescent="0.2"/>
  <cols>
    <col min="5" max="6" width="14.6640625" bestFit="1" customWidth="1"/>
  </cols>
  <sheetData>
    <row r="1" spans="1:8" x14ac:dyDescent="0.2">
      <c r="A1" t="s">
        <v>55</v>
      </c>
      <c r="B1" t="s">
        <v>19</v>
      </c>
      <c r="C1" t="s">
        <v>20</v>
      </c>
      <c r="D1" t="s">
        <v>3</v>
      </c>
      <c r="E1" t="s">
        <v>21</v>
      </c>
      <c r="F1" t="s">
        <v>22</v>
      </c>
    </row>
    <row r="2" spans="1:8" x14ac:dyDescent="0.2">
      <c r="A2">
        <v>1</v>
      </c>
      <c r="B2" s="2">
        <v>46204</v>
      </c>
      <c r="C2" s="3">
        <v>0.5</v>
      </c>
      <c r="D2" t="s">
        <v>5</v>
      </c>
      <c r="E2">
        <f>IFERROR(VLOOKUP(D2,Pricing!$B$2:$C$18,2,0),0)+SUMIF('Order Detail'!$A:$A,A2,'Order Detail'!C:C)</f>
        <v>70000</v>
      </c>
      <c r="G2">
        <f>IFERROR(VLOOKUP(D2,Pricing!$B$2:$C$18,2,0),0)</f>
        <v>70000</v>
      </c>
      <c r="H2">
        <f>SUMIF('Order Detail'!$A:$A,A2,'Order Detail'!C:C)</f>
        <v>0</v>
      </c>
    </row>
    <row r="3" spans="1:8" x14ac:dyDescent="0.2">
      <c r="A3">
        <v>2</v>
      </c>
      <c r="B3" s="2">
        <v>46204</v>
      </c>
      <c r="C3" s="3">
        <v>0.72916666666666663</v>
      </c>
      <c r="D3" t="s">
        <v>45</v>
      </c>
      <c r="E3">
        <f>IFERROR(VLOOKUP(D3,Pricing!$B$2:$C$18,2,0),0)+SUMIF('Order Detail'!$A:$A,A3,'Order Detail'!C:C)</f>
        <v>135000</v>
      </c>
    </row>
    <row r="4" spans="1:8" x14ac:dyDescent="0.2">
      <c r="A4">
        <v>3</v>
      </c>
      <c r="B4" s="2">
        <v>46205</v>
      </c>
      <c r="C4" s="3">
        <v>0.52083333333333337</v>
      </c>
      <c r="D4" t="s">
        <v>45</v>
      </c>
      <c r="E4">
        <f>IFERROR(VLOOKUP(D4,Pricing!$B$2:$C$18,2,0),0)+SUMIF('Order Detail'!$A:$A,A4,'Order Detail'!C:C)</f>
        <v>135000</v>
      </c>
    </row>
    <row r="5" spans="1:8" x14ac:dyDescent="0.2">
      <c r="A5">
        <v>4</v>
      </c>
      <c r="B5" s="2">
        <v>46205</v>
      </c>
      <c r="C5" s="3">
        <v>0.64583333333333337</v>
      </c>
      <c r="D5" t="s">
        <v>4</v>
      </c>
      <c r="E5">
        <f>IFERROR(VLOOKUP(D5,Pricing!$B$2:$C$18,2,0),0)+SUMIF('Order Detail'!$A:$A,A5,'Order Detail'!C:C)</f>
        <v>40000</v>
      </c>
    </row>
    <row r="6" spans="1:8" x14ac:dyDescent="0.2">
      <c r="A6">
        <v>5</v>
      </c>
      <c r="B6" s="2">
        <v>46205</v>
      </c>
      <c r="C6" s="3">
        <v>0.66666666666666663</v>
      </c>
      <c r="D6" t="s">
        <v>45</v>
      </c>
      <c r="E6">
        <f>IFERROR(VLOOKUP(D6,Pricing!$B$2:$C$18,2,0),0)+SUMIF('Order Detail'!$A:$A,A6,'Order Detail'!C:C)</f>
        <v>135000</v>
      </c>
    </row>
    <row r="7" spans="1:8" x14ac:dyDescent="0.2">
      <c r="A7">
        <v>6</v>
      </c>
      <c r="B7" s="2">
        <v>46205</v>
      </c>
      <c r="C7" s="3">
        <v>0.70833333333333337</v>
      </c>
      <c r="D7" t="s">
        <v>4</v>
      </c>
      <c r="E7">
        <f>IFERROR(VLOOKUP(D7,Pricing!$B$2:$C$18,2,0),0)+SUMIF('Order Detail'!$A:$A,A7,'Order Detail'!C:C)</f>
        <v>40000</v>
      </c>
    </row>
    <row r="8" spans="1:8" x14ac:dyDescent="0.2">
      <c r="A8">
        <v>7</v>
      </c>
      <c r="B8" s="2">
        <v>46206</v>
      </c>
      <c r="C8" s="3">
        <v>0.60416666666666663</v>
      </c>
      <c r="D8" t="s">
        <v>5</v>
      </c>
      <c r="E8">
        <f>IFERROR(VLOOKUP(D8,Pricing!$B$2:$C$18,2,0),0)+SUMIF('Order Detail'!$A:$A,A8,'Order Detail'!C:C)</f>
        <v>70000</v>
      </c>
    </row>
    <row r="9" spans="1:8" x14ac:dyDescent="0.2">
      <c r="A9">
        <v>8</v>
      </c>
      <c r="B9" s="2">
        <v>46206</v>
      </c>
      <c r="C9" s="3">
        <v>0.66666666666666663</v>
      </c>
      <c r="D9" t="s">
        <v>5</v>
      </c>
      <c r="E9">
        <f>IFERROR(VLOOKUP(D9,Pricing!$B$2:$C$18,2,0),0)+SUMIF('Order Detail'!$A:$A,A9,'Order Detail'!C:C)</f>
        <v>100000</v>
      </c>
    </row>
    <row r="10" spans="1:8" x14ac:dyDescent="0.2">
      <c r="A10">
        <v>9</v>
      </c>
      <c r="B10" s="2">
        <v>46207</v>
      </c>
      <c r="C10" s="3">
        <v>0.4375</v>
      </c>
      <c r="D10" t="s">
        <v>5</v>
      </c>
      <c r="E10">
        <f>IFERROR(VLOOKUP(D10,Pricing!$B$2:$C$18,2,0),0)+SUMIF('Order Detail'!$A:$A,A10,'Order Detail'!C:C)</f>
        <v>70000</v>
      </c>
    </row>
    <row r="11" spans="1:8" x14ac:dyDescent="0.2">
      <c r="A11">
        <v>10</v>
      </c>
      <c r="B11" s="2">
        <v>46207</v>
      </c>
      <c r="C11" s="3">
        <v>0.5</v>
      </c>
      <c r="D11" t="s">
        <v>5</v>
      </c>
      <c r="E11">
        <f>IFERROR(VLOOKUP(D11,Pricing!$B$2:$C$18,2,0),0)+SUMIF('Order Detail'!$A:$A,A11,'Order Detail'!C:C)</f>
        <v>70000</v>
      </c>
    </row>
    <row r="12" spans="1:8" x14ac:dyDescent="0.2">
      <c r="A12">
        <v>11</v>
      </c>
      <c r="B12" s="2">
        <v>46207</v>
      </c>
      <c r="C12" s="3">
        <v>0.70833333333333337</v>
      </c>
      <c r="D12" t="s">
        <v>6</v>
      </c>
      <c r="E12">
        <f>IFERROR(VLOOKUP(D12,Pricing!$B$2:$C$18,2,0),0)+SUMIF('Order Detail'!$A:$A,A12,'Order Detail'!C:C)</f>
        <v>100000</v>
      </c>
    </row>
    <row r="13" spans="1:8" x14ac:dyDescent="0.2">
      <c r="A13">
        <v>12</v>
      </c>
      <c r="B13" s="2">
        <v>46216</v>
      </c>
      <c r="C13" s="3">
        <v>0.5625</v>
      </c>
      <c r="D13" t="s">
        <v>5</v>
      </c>
      <c r="E13">
        <f>IFERROR(VLOOKUP(D13,Pricing!$B$2:$C$18,2,0),0)+SUMIF('Order Detail'!$A:$A,A13,'Order Detail'!C:C)</f>
        <v>100000</v>
      </c>
    </row>
    <row r="14" spans="1:8" x14ac:dyDescent="0.2">
      <c r="A14">
        <v>13</v>
      </c>
      <c r="B14" s="2">
        <v>46217</v>
      </c>
      <c r="C14" s="3">
        <v>0.54166666666666663</v>
      </c>
      <c r="D14" t="s">
        <v>5</v>
      </c>
      <c r="E14">
        <f>IFERROR(VLOOKUP(D14,Pricing!$B$2:$C$18,2,0),0)+SUMIF('Order Detail'!$A:$A,A14,'Order Detail'!C:C)</f>
        <v>100000</v>
      </c>
    </row>
    <row r="15" spans="1:8" x14ac:dyDescent="0.2">
      <c r="A15">
        <v>14</v>
      </c>
      <c r="B15" s="2">
        <v>46217</v>
      </c>
      <c r="C15" s="3">
        <v>0.58333333333333337</v>
      </c>
      <c r="D15" t="s">
        <v>5</v>
      </c>
      <c r="E15">
        <f>IFERROR(VLOOKUP(D15,Pricing!$B$2:$C$18,2,0),0)+SUMIF('Order Detail'!$A:$A,A15,'Order Detail'!C:C)</f>
        <v>100000</v>
      </c>
    </row>
    <row r="16" spans="1:8" x14ac:dyDescent="0.2">
      <c r="A16">
        <v>15</v>
      </c>
      <c r="B16" s="2">
        <v>46217</v>
      </c>
      <c r="C16" s="3">
        <v>0.66666666666666663</v>
      </c>
      <c r="D16" t="s">
        <v>5</v>
      </c>
      <c r="E16">
        <f>IFERROR(VLOOKUP(D16,Pricing!$B$2:$C$18,2,0),0)+SUMIF('Order Detail'!$A:$A,A16,'Order Detail'!C:C)</f>
        <v>70000</v>
      </c>
    </row>
    <row r="17" spans="1:5" x14ac:dyDescent="0.2">
      <c r="A17">
        <v>16</v>
      </c>
      <c r="B17" s="2">
        <v>46217</v>
      </c>
      <c r="C17" s="3">
        <v>0.70833333333333337</v>
      </c>
      <c r="D17" t="s">
        <v>5</v>
      </c>
      <c r="E17">
        <f>IFERROR(VLOOKUP(D17,Pricing!$B$2:$C$18,2,0),0)+SUMIF('Order Detail'!$A:$A,A17,'Order Detail'!C:C)</f>
        <v>70000</v>
      </c>
    </row>
    <row r="18" spans="1:5" x14ac:dyDescent="0.2">
      <c r="A18">
        <v>17</v>
      </c>
      <c r="B18" s="2">
        <v>46217</v>
      </c>
      <c r="C18" s="3">
        <v>0.73611111111111116</v>
      </c>
      <c r="D18" t="s">
        <v>6</v>
      </c>
      <c r="E18">
        <f>IFERROR(VLOOKUP(D18,Pricing!$B$2:$C$18,2,0),0)+SUMIF('Order Detail'!$A:$A,A18,'Order Detail'!C:C)</f>
        <v>100000</v>
      </c>
    </row>
    <row r="19" spans="1:5" x14ac:dyDescent="0.2">
      <c r="A19">
        <v>18</v>
      </c>
      <c r="B19" s="2">
        <v>46218</v>
      </c>
      <c r="C19" s="3">
        <v>0.60416666666666663</v>
      </c>
      <c r="D19" t="s">
        <v>6</v>
      </c>
      <c r="E19">
        <f>IFERROR(VLOOKUP(D19,Pricing!$B$2:$C$18,2,0),0)+SUMIF('Order Detail'!$A:$A,A19,'Order Detail'!C:C)</f>
        <v>100000</v>
      </c>
    </row>
    <row r="20" spans="1:5" x14ac:dyDescent="0.2">
      <c r="A20">
        <v>19</v>
      </c>
      <c r="B20" s="2">
        <v>46218</v>
      </c>
      <c r="C20" s="3">
        <v>0.68055555555555558</v>
      </c>
      <c r="D20" t="s">
        <v>5</v>
      </c>
      <c r="E20">
        <f>IFERROR(VLOOKUP(D20,Pricing!$B$2:$C$18,2,0),0)+SUMIF('Order Detail'!$A:$A,A20,'Order Detail'!C:C)</f>
        <v>70000</v>
      </c>
    </row>
    <row r="21" spans="1:5" x14ac:dyDescent="0.2">
      <c r="A21">
        <v>20</v>
      </c>
      <c r="B21" s="2">
        <v>46219</v>
      </c>
      <c r="C21" s="3">
        <v>0.45833333333333331</v>
      </c>
      <c r="D21" t="s">
        <v>5</v>
      </c>
      <c r="E21">
        <f>IFERROR(VLOOKUP(D21,Pricing!$B$2:$C$18,2,0),0)+SUMIF('Order Detail'!$A:$A,A21,'Order Detail'!C:C)</f>
        <v>100000</v>
      </c>
    </row>
    <row r="22" spans="1:5" x14ac:dyDescent="0.2">
      <c r="A22">
        <v>21</v>
      </c>
      <c r="B22" s="2">
        <v>46220</v>
      </c>
      <c r="C22" s="3">
        <v>0.47916666666666669</v>
      </c>
      <c r="D22" t="s">
        <v>5</v>
      </c>
      <c r="E22">
        <f>IFERROR(VLOOKUP(D22,Pricing!$B$2:$C$18,2,0),0)+SUMIF('Order Detail'!$A:$A,A22,'Order Detail'!C:C)</f>
        <v>100000</v>
      </c>
    </row>
    <row r="23" spans="1:5" x14ac:dyDescent="0.2">
      <c r="A23">
        <v>22</v>
      </c>
      <c r="B23" s="2">
        <v>46220</v>
      </c>
      <c r="C23" s="3">
        <v>0.625</v>
      </c>
      <c r="D23" t="s">
        <v>5</v>
      </c>
      <c r="E23">
        <f>IFERROR(VLOOKUP(D23,Pricing!$B$2:$C$18,2,0),0)+SUMIF('Order Detail'!$A:$A,A23,'Order Detail'!C:C)</f>
        <v>70000</v>
      </c>
    </row>
    <row r="24" spans="1:5" x14ac:dyDescent="0.2">
      <c r="A24">
        <v>23</v>
      </c>
      <c r="B24" s="2">
        <v>46221</v>
      </c>
      <c r="C24" s="3">
        <v>0.52083333333333337</v>
      </c>
      <c r="D24" t="s">
        <v>5</v>
      </c>
      <c r="E24">
        <f>IFERROR(VLOOKUP(D24,Pricing!$B$2:$C$18,2,0),0)+SUMIF('Order Detail'!$A:$A,A24,'Order Detail'!C:C)</f>
        <v>70000</v>
      </c>
    </row>
    <row r="25" spans="1:5" x14ac:dyDescent="0.2">
      <c r="A25">
        <v>24</v>
      </c>
      <c r="B25" s="2">
        <v>46221</v>
      </c>
      <c r="C25" s="3">
        <v>0.625</v>
      </c>
      <c r="D25" t="s">
        <v>6</v>
      </c>
      <c r="E25">
        <f>IFERROR(VLOOKUP(D25,Pricing!$B$2:$C$18,2,0),0)+SUMIF('Order Detail'!$A:$A,A25,'Order Detail'!C:C)</f>
        <v>145000</v>
      </c>
    </row>
    <row r="26" spans="1:5" x14ac:dyDescent="0.2">
      <c r="A26">
        <v>25</v>
      </c>
      <c r="B26" s="2">
        <v>46221</v>
      </c>
      <c r="C26" s="3">
        <v>0.6875</v>
      </c>
      <c r="D26" t="s">
        <v>6</v>
      </c>
      <c r="E26">
        <f>IFERROR(VLOOKUP(D26,Pricing!$B$2:$C$18,2,0),0)+SUMIF('Order Detail'!$A:$A,A26,'Order Detail'!C:C)</f>
        <v>100000</v>
      </c>
    </row>
    <row r="27" spans="1:5" x14ac:dyDescent="0.2">
      <c r="A27">
        <v>26</v>
      </c>
      <c r="B27" s="2">
        <v>46222</v>
      </c>
      <c r="C27" s="3">
        <v>0.52083333333333337</v>
      </c>
      <c r="D27" t="s">
        <v>5</v>
      </c>
      <c r="E27">
        <f>IFERROR(VLOOKUP(D27,Pricing!$B$2:$C$18,2,0),0)+SUMIF('Order Detail'!$A:$A,A27,'Order Detail'!C:C)</f>
        <v>100000</v>
      </c>
    </row>
    <row r="28" spans="1:5" x14ac:dyDescent="0.2">
      <c r="A28">
        <v>27</v>
      </c>
      <c r="B28" s="2">
        <v>46222</v>
      </c>
      <c r="C28" s="3">
        <v>0.58333333333333337</v>
      </c>
      <c r="D28" t="s">
        <v>6</v>
      </c>
      <c r="E28">
        <f>IFERROR(VLOOKUP(D28,Pricing!$B$2:$C$18,2,0),0)+SUMIF('Order Detail'!$A:$A,A28,'Order Detail'!C:C)</f>
        <v>100000</v>
      </c>
    </row>
    <row r="29" spans="1:5" x14ac:dyDescent="0.2">
      <c r="A29">
        <v>28</v>
      </c>
      <c r="B29" s="2">
        <v>46222</v>
      </c>
      <c r="C29" s="3">
        <v>0.64583333333333337</v>
      </c>
      <c r="D29" t="s">
        <v>45</v>
      </c>
      <c r="E29">
        <f>IFERROR(VLOOKUP(D29,Pricing!$B$2:$C$18,2,0),0)+SUMIF('Order Detail'!$A:$A,A29,'Order Detail'!C:C)</f>
        <v>135000</v>
      </c>
    </row>
    <row r="30" spans="1:5" x14ac:dyDescent="0.2">
      <c r="A30">
        <v>29</v>
      </c>
      <c r="B30" s="2">
        <v>46223</v>
      </c>
      <c r="C30" s="3">
        <v>0.58333333333333337</v>
      </c>
      <c r="D30" t="s">
        <v>5</v>
      </c>
      <c r="E30">
        <f>IFERROR(VLOOKUP(D30,Pricing!$B$2:$C$18,2,0),0)+SUMIF('Order Detail'!$A:$A,A30,'Order Detail'!C:C)</f>
        <v>155000</v>
      </c>
    </row>
    <row r="31" spans="1:5" x14ac:dyDescent="0.2">
      <c r="A31">
        <v>30</v>
      </c>
      <c r="B31" s="2">
        <v>46223</v>
      </c>
      <c r="C31" s="3">
        <v>0.70833333333333337</v>
      </c>
      <c r="D31" t="s">
        <v>6</v>
      </c>
      <c r="E31">
        <f>IFERROR(VLOOKUP(D31,Pricing!$B$2:$C$18,2,0),0)+SUMIF('Order Detail'!$A:$A,A31,'Order Detail'!C:C)</f>
        <v>100000</v>
      </c>
    </row>
    <row r="32" spans="1:5" x14ac:dyDescent="0.2">
      <c r="A32">
        <v>31</v>
      </c>
      <c r="B32" s="2">
        <v>46225</v>
      </c>
      <c r="C32" s="3">
        <v>0.54166666666666663</v>
      </c>
      <c r="D32" t="s">
        <v>5</v>
      </c>
      <c r="E32">
        <f>IFERROR(VLOOKUP(D32,Pricing!$B$2:$C$18,2,0),0)+SUMIF('Order Detail'!$A:$A,A32,'Order Detail'!C:C)</f>
        <v>70000</v>
      </c>
    </row>
    <row r="33" spans="1:5" x14ac:dyDescent="0.2">
      <c r="A33">
        <v>32</v>
      </c>
      <c r="B33" s="2">
        <v>46228</v>
      </c>
      <c r="C33" s="3">
        <v>0.54166666666666663</v>
      </c>
      <c r="D33" t="s">
        <v>5</v>
      </c>
      <c r="E33">
        <f>IFERROR(VLOOKUP(D33,Pricing!$B$2:$C$18,2,0),0)+SUMIF('Order Detail'!$A:$A,A33,'Order Detail'!C:C)</f>
        <v>70000</v>
      </c>
    </row>
    <row r="34" spans="1:5" x14ac:dyDescent="0.2">
      <c r="A34">
        <v>33</v>
      </c>
      <c r="B34" s="2">
        <v>46228</v>
      </c>
      <c r="C34" s="3">
        <v>0.58333333333333337</v>
      </c>
      <c r="D34" t="s">
        <v>5</v>
      </c>
      <c r="E34">
        <f>IFERROR(VLOOKUP(D34,Pricing!$B$2:$C$18,2,0),0)+SUMIF('Order Detail'!$A:$A,A34,'Order Detail'!C:C)</f>
        <v>70000</v>
      </c>
    </row>
    <row r="35" spans="1:5" x14ac:dyDescent="0.2">
      <c r="A35">
        <v>34</v>
      </c>
      <c r="B35" s="2">
        <v>46228</v>
      </c>
      <c r="C35" s="3">
        <v>0.625</v>
      </c>
      <c r="D35" t="s">
        <v>45</v>
      </c>
      <c r="E35">
        <f>IFERROR(VLOOKUP(D35,Pricing!$B$2:$C$18,2,0),0)+SUMIF('Order Detail'!$A:$A,A35,'Order Detail'!C:C)</f>
        <v>135000</v>
      </c>
    </row>
    <row r="36" spans="1:5" x14ac:dyDescent="0.2">
      <c r="A36">
        <v>35</v>
      </c>
      <c r="B36" s="2">
        <v>46228</v>
      </c>
      <c r="C36" s="3">
        <v>0.66666666666666663</v>
      </c>
      <c r="D36" t="s">
        <v>5</v>
      </c>
      <c r="E36">
        <f>IFERROR(VLOOKUP(D36,Pricing!$B$2:$C$18,2,0),0)+SUMIF('Order Detail'!$A:$A,A36,'Order Detail'!C:C)</f>
        <v>70000</v>
      </c>
    </row>
    <row r="37" spans="1:5" x14ac:dyDescent="0.2">
      <c r="A37">
        <v>36</v>
      </c>
      <c r="B37" s="2">
        <v>46228</v>
      </c>
      <c r="C37" s="3">
        <v>0.70833333333333337</v>
      </c>
      <c r="D37" t="s">
        <v>5</v>
      </c>
      <c r="E37">
        <f>IFERROR(VLOOKUP(D37,Pricing!$B$2:$C$18,2,0),0)+SUMIF('Order Detail'!$A:$A,A37,'Order Detail'!C:C)</f>
        <v>70000</v>
      </c>
    </row>
    <row r="38" spans="1:5" x14ac:dyDescent="0.2">
      <c r="A38">
        <v>37</v>
      </c>
      <c r="B38" s="2">
        <v>46228</v>
      </c>
      <c r="C38" s="3">
        <v>0.8125</v>
      </c>
      <c r="D38" t="s">
        <v>5</v>
      </c>
      <c r="E38">
        <f>IFERROR(VLOOKUP(D38,Pricing!$B$2:$C$18,2,0),0)+SUMIF('Order Detail'!$A:$A,A38,'Order Detail'!C:C)</f>
        <v>70000</v>
      </c>
    </row>
    <row r="39" spans="1:5" x14ac:dyDescent="0.2">
      <c r="A39">
        <v>38</v>
      </c>
      <c r="B39" s="2">
        <v>46229</v>
      </c>
      <c r="C39" s="3">
        <v>0.54166666666666663</v>
      </c>
      <c r="D39" t="s">
        <v>5</v>
      </c>
      <c r="E39">
        <f>IFERROR(VLOOKUP(D39,Pricing!$B$2:$C$18,2,0),0)+SUMIF('Order Detail'!$A:$A,A39,'Order Detail'!C:C)</f>
        <v>70000</v>
      </c>
    </row>
    <row r="40" spans="1:5" x14ac:dyDescent="0.2">
      <c r="A40">
        <v>39</v>
      </c>
      <c r="B40" s="2">
        <v>46229</v>
      </c>
      <c r="C40" s="3">
        <v>0.58333333333333337</v>
      </c>
      <c r="D40" t="s">
        <v>56</v>
      </c>
      <c r="E40">
        <f>IFERROR(VLOOKUP(D40,Pricing!$B$2:$C$18,2,0),0)+SUMIF('Order Detail'!$A:$A,A40,'Order Detail'!C:C)</f>
        <v>75000</v>
      </c>
    </row>
    <row r="41" spans="1:5" x14ac:dyDescent="0.2">
      <c r="A41">
        <v>40</v>
      </c>
      <c r="B41" s="2">
        <v>46229</v>
      </c>
      <c r="C41" s="3">
        <v>0.58333333333333337</v>
      </c>
      <c r="D41" t="s">
        <v>5</v>
      </c>
      <c r="E41">
        <f>IFERROR(VLOOKUP(D41,Pricing!$B$2:$C$18,2,0),0)+SUMIF('Order Detail'!$A:$A,A41,'Order Detail'!C:C)</f>
        <v>70000</v>
      </c>
    </row>
    <row r="42" spans="1:5" x14ac:dyDescent="0.2">
      <c r="A42">
        <v>41</v>
      </c>
      <c r="B42" s="2">
        <v>46230</v>
      </c>
      <c r="C42" s="3">
        <v>0.54166666666666663</v>
      </c>
      <c r="D42" t="s">
        <v>6</v>
      </c>
      <c r="E42">
        <f>IFERROR(VLOOKUP(D42,Pricing!$B$2:$C$18,2,0),0)+SUMIF('Order Detail'!$A:$A,A42,'Order Detail'!C:C)</f>
        <v>100000</v>
      </c>
    </row>
    <row r="43" spans="1:5" x14ac:dyDescent="0.2">
      <c r="A43">
        <v>42</v>
      </c>
      <c r="B43" s="2">
        <v>46231</v>
      </c>
      <c r="C43" s="3">
        <v>0.625</v>
      </c>
      <c r="D43" t="s">
        <v>45</v>
      </c>
      <c r="E43">
        <f>IFERROR(VLOOKUP(D43,Pricing!$B$2:$C$18,2,0),0)+SUMIF('Order Detail'!$A:$A,A43,'Order Detail'!C:C)</f>
        <v>195000</v>
      </c>
    </row>
    <row r="44" spans="1:5" x14ac:dyDescent="0.2">
      <c r="A44">
        <v>43</v>
      </c>
      <c r="B44" s="2">
        <v>46231</v>
      </c>
      <c r="C44" s="3">
        <v>0.66666666666666663</v>
      </c>
      <c r="D44" t="s">
        <v>4</v>
      </c>
      <c r="E44">
        <f>IFERROR(VLOOKUP(D44,Pricing!$B$2:$C$18,2,0),0)+SUMIF('Order Detail'!$A:$A,A44,'Order Detail'!C:C)</f>
        <v>40000</v>
      </c>
    </row>
    <row r="45" spans="1:5" x14ac:dyDescent="0.2">
      <c r="A45">
        <v>44</v>
      </c>
      <c r="B45" s="2">
        <v>46231</v>
      </c>
      <c r="C45" s="3">
        <v>0.66666666666666663</v>
      </c>
      <c r="D45" t="s">
        <v>4</v>
      </c>
      <c r="E45">
        <f>IFERROR(VLOOKUP(D45,Pricing!$B$2:$C$18,2,0),0)+SUMIF('Order Detail'!$A:$A,A45,'Order Detail'!C:C)</f>
        <v>40000</v>
      </c>
    </row>
    <row r="46" spans="1:5" x14ac:dyDescent="0.2">
      <c r="A46">
        <v>45</v>
      </c>
      <c r="B46" s="2">
        <v>46231</v>
      </c>
      <c r="C46" s="3">
        <v>0.70833333333333337</v>
      </c>
      <c r="D46" t="s">
        <v>5</v>
      </c>
      <c r="E46">
        <f>IFERROR(VLOOKUP(D46,Pricing!$B$2:$C$18,2,0),0)+SUMIF('Order Detail'!$A:$A,A46,'Order Detail'!C:C)</f>
        <v>70000</v>
      </c>
    </row>
    <row r="47" spans="1:5" x14ac:dyDescent="0.2">
      <c r="A47">
        <v>46</v>
      </c>
      <c r="B47" s="2">
        <v>46232</v>
      </c>
      <c r="C47" s="3">
        <v>0.54166666666666663</v>
      </c>
      <c r="D47" t="s">
        <v>5</v>
      </c>
      <c r="E47">
        <f>IFERROR(VLOOKUP(D47,Pricing!$B$2:$C$18,2,0),0)+SUMIF('Order Detail'!$A:$A,A47,'Order Detail'!C:C)</f>
        <v>70000</v>
      </c>
    </row>
    <row r="48" spans="1:5" x14ac:dyDescent="0.2">
      <c r="A48">
        <v>47</v>
      </c>
      <c r="B48" s="2">
        <v>46232</v>
      </c>
      <c r="C48" s="3">
        <v>0.58333333333333337</v>
      </c>
      <c r="D48" t="s">
        <v>5</v>
      </c>
      <c r="E48">
        <f>IFERROR(VLOOKUP(D48,Pricing!$B$2:$C$18,2,0),0)+SUMIF('Order Detail'!$A:$A,A48,'Order Detail'!C:C)</f>
        <v>70000</v>
      </c>
    </row>
    <row r="49" spans="1:5" x14ac:dyDescent="0.2">
      <c r="A49">
        <v>48</v>
      </c>
      <c r="B49" s="2">
        <v>46232</v>
      </c>
      <c r="C49" s="3">
        <v>0.625</v>
      </c>
      <c r="D49" t="s">
        <v>45</v>
      </c>
      <c r="E49">
        <f>IFERROR(VLOOKUP(D49,Pricing!$B$2:$C$18,2,0),0)+SUMIF('Order Detail'!$A:$A,A49,'Order Detail'!C:C)</f>
        <v>135000</v>
      </c>
    </row>
    <row r="50" spans="1:5" x14ac:dyDescent="0.2">
      <c r="A50">
        <v>49</v>
      </c>
      <c r="B50" s="2">
        <v>46232</v>
      </c>
      <c r="C50" s="3">
        <v>0.70833333333333337</v>
      </c>
      <c r="D50" t="s">
        <v>5</v>
      </c>
      <c r="E50">
        <f>IFERROR(VLOOKUP(D50,Pricing!$B$2:$C$18,2,0),0)+SUMIF('Order Detail'!$A:$A,A50,'Order Detail'!C:C)</f>
        <v>70000</v>
      </c>
    </row>
    <row r="51" spans="1:5" x14ac:dyDescent="0.2">
      <c r="A51">
        <v>50</v>
      </c>
      <c r="B51" s="2">
        <v>46234</v>
      </c>
      <c r="C51" s="3">
        <v>0.5625</v>
      </c>
      <c r="D51" t="s">
        <v>5</v>
      </c>
      <c r="E51">
        <f>IFERROR(VLOOKUP(D51,Pricing!$B$2:$C$18,2,0),0)+SUMIF('Order Detail'!$A:$A,A51,'Order Detail'!C:C)</f>
        <v>100000</v>
      </c>
    </row>
    <row r="52" spans="1:5" x14ac:dyDescent="0.2">
      <c r="E52">
        <f>IFERROR(VLOOKUP(D52,Pricing!$B$2:$C$18,2,0),0)+SUMIF('Order Detail'!$A:$A,A52,'Order Detail'!C:C)</f>
        <v>0</v>
      </c>
    </row>
    <row r="53" spans="1:5" x14ac:dyDescent="0.2">
      <c r="E53">
        <f>IFERROR(VLOOKUP(D53,Pricing!$B$2:$C$18,2,0),0)+SUMIF('Order Detail'!$A:$A,A53,'Order Detail'!C:C)</f>
        <v>0</v>
      </c>
    </row>
    <row r="54" spans="1:5" x14ac:dyDescent="0.2">
      <c r="E54">
        <f>IFERROR(VLOOKUP(D54,Pricing!$B$2:$C$18,2,0),0)+SUMIF('Order Detail'!$A:$A,A54,'Order Detail'!C:C)</f>
        <v>0</v>
      </c>
    </row>
    <row r="55" spans="1:5" x14ac:dyDescent="0.2">
      <c r="E55">
        <f>IFERROR(VLOOKUP(D55,Pricing!$B$2:$C$18,2,0),0)+SUMIF('Order Detail'!$A:$A,A55,'Order Detail'!C:C)</f>
        <v>0</v>
      </c>
    </row>
    <row r="56" spans="1:5" x14ac:dyDescent="0.2">
      <c r="E56">
        <f>IFERROR(VLOOKUP(D56,Pricing!$B$2:$C$18,2,0),0)+SUMIF('Order Detail'!$A:$A,A56,'Order Detail'!C:C)</f>
        <v>0</v>
      </c>
    </row>
    <row r="57" spans="1:5" x14ac:dyDescent="0.2">
      <c r="E57">
        <f>IFERROR(VLOOKUP(D57,Pricing!$B$2:$C$18,2,0),0)+SUMIF('Order Detail'!$A:$A,A57,'Order Detail'!C:C)</f>
        <v>0</v>
      </c>
    </row>
    <row r="58" spans="1:5" x14ac:dyDescent="0.2">
      <c r="E58">
        <f>IFERROR(VLOOKUP(D58,Pricing!$B$2:$C$18,2,0),0)+SUMIF('Order Detail'!$A:$A,A58,'Order Detail'!C:C)</f>
        <v>0</v>
      </c>
    </row>
    <row r="59" spans="1:5" x14ac:dyDescent="0.2">
      <c r="E59">
        <f>IFERROR(VLOOKUP(D59,Pricing!$B$2:$C$18,2,0),0)+SUMIF('Order Detail'!$A:$A,A59,'Order Detail'!C:C)</f>
        <v>0</v>
      </c>
    </row>
    <row r="60" spans="1:5" x14ac:dyDescent="0.2">
      <c r="E60">
        <f>IFERROR(VLOOKUP(D60,Pricing!$B$2:$C$18,2,0),0)+SUMIF('Order Detail'!$A:$A,A60,'Order Detail'!C:C)</f>
        <v>0</v>
      </c>
    </row>
    <row r="61" spans="1:5" x14ac:dyDescent="0.2">
      <c r="E61">
        <f>IFERROR(VLOOKUP(D61,Pricing!$B$2:$C$18,2,0),0)+SUMIF('Order Detail'!$A:$A,A61,'Order Detail'!C:C)</f>
        <v>0</v>
      </c>
    </row>
    <row r="62" spans="1:5" x14ac:dyDescent="0.2">
      <c r="E62">
        <f>IFERROR(VLOOKUP(D62,Pricing!$B$2:$C$18,2,0),0)+SUMIF('Order Detail'!$A:$A,A62,'Order Detail'!C:C)</f>
        <v>0</v>
      </c>
    </row>
    <row r="63" spans="1:5" x14ac:dyDescent="0.2">
      <c r="E63">
        <f>IFERROR(VLOOKUP(D63,Pricing!$B$2:$C$18,2,0),0)+SUMIF('Order Detail'!$A:$A,A63,'Order Detail'!C:C)</f>
        <v>0</v>
      </c>
    </row>
    <row r="64" spans="1:5" x14ac:dyDescent="0.2">
      <c r="E64">
        <f>IFERROR(VLOOKUP(D64,Pricing!$B$2:$C$18,2,0),0)+SUMIF('Order Detail'!$A:$A,A64,'Order Detail'!C:C)</f>
        <v>0</v>
      </c>
    </row>
    <row r="65" spans="5:5" x14ac:dyDescent="0.2">
      <c r="E65">
        <f>IFERROR(VLOOKUP(D65,Pricing!$B$2:$C$18,2,0),0)+SUMIF('Order Detail'!$A:$A,A65,'Order Detail'!C:C)</f>
        <v>0</v>
      </c>
    </row>
    <row r="66" spans="5:5" x14ac:dyDescent="0.2">
      <c r="E66">
        <f>IFERROR(VLOOKUP(D66,Pricing!$B$2:$C$18,2,0),0)+SUMIF('Order Detail'!$A:$A,A66,'Order Detail'!C:C)</f>
        <v>0</v>
      </c>
    </row>
    <row r="67" spans="5:5" x14ac:dyDescent="0.2">
      <c r="E67">
        <f>IFERROR(VLOOKUP(D67,Pricing!$B$2:$C$18,2,0),0)+SUMIF('Order Detail'!$A:$A,A67,'Order Detail'!C:C)</f>
        <v>0</v>
      </c>
    </row>
    <row r="68" spans="5:5" x14ac:dyDescent="0.2">
      <c r="E68">
        <f>IFERROR(VLOOKUP(D68,Pricing!$B$2:$C$18,2,0),0)+SUMIF('Order Detail'!$A:$A,A68,'Order Detail'!C:C)</f>
        <v>0</v>
      </c>
    </row>
    <row r="69" spans="5:5" x14ac:dyDescent="0.2">
      <c r="E69">
        <f>IFERROR(VLOOKUP(D69,Pricing!$B$2:$C$18,2,0),0)+SUMIF('Order Detail'!$A:$A,A69,'Order Detail'!C:C)</f>
        <v>0</v>
      </c>
    </row>
    <row r="70" spans="5:5" x14ac:dyDescent="0.2">
      <c r="E70">
        <f>IFERROR(VLOOKUP(D70,Pricing!$B$2:$C$18,2,0),0)+SUMIF('Order Detail'!$A:$A,A70,'Order Detail'!C:C)</f>
        <v>0</v>
      </c>
    </row>
    <row r="71" spans="5:5" x14ac:dyDescent="0.2">
      <c r="E71">
        <f>IFERROR(VLOOKUP(D71,Pricing!$B$2:$C$18,2,0),0)+SUMIF('Order Detail'!$A:$A,A71,'Order Detail'!C:C)</f>
        <v>0</v>
      </c>
    </row>
    <row r="72" spans="5:5" x14ac:dyDescent="0.2">
      <c r="E72">
        <f>IFERROR(VLOOKUP(D72,Pricing!$B$2:$C$18,2,0),0)+SUMIF('Order Detail'!$A:$A,A72,'Order Detail'!C:C)</f>
        <v>0</v>
      </c>
    </row>
    <row r="73" spans="5:5" x14ac:dyDescent="0.2">
      <c r="E73">
        <f>IFERROR(VLOOKUP(D73,Pricing!$B$2:$C$18,2,0),0)+SUMIF('Order Detail'!$A:$A,A73,'Order Detail'!C:C)</f>
        <v>0</v>
      </c>
    </row>
    <row r="74" spans="5:5" x14ac:dyDescent="0.2">
      <c r="E74">
        <f>IFERROR(VLOOKUP(D74,Pricing!$B$2:$C$18,2,0),0)+SUMIF('Order Detail'!$A:$A,A74,'Order Detail'!C:C)</f>
        <v>0</v>
      </c>
    </row>
    <row r="75" spans="5:5" x14ac:dyDescent="0.2">
      <c r="E75">
        <f>IFERROR(VLOOKUP(D75,Pricing!$B$2:$C$18,2,0),0)+SUMIF('Order Detail'!$A:$A,A75,'Order Detail'!C:C)</f>
        <v>0</v>
      </c>
    </row>
    <row r="76" spans="5:5" x14ac:dyDescent="0.2">
      <c r="E76">
        <f>IFERROR(VLOOKUP(D76,Pricing!$B$2:$C$18,2,0),0)+SUMIF('Order Detail'!$A:$A,A76,'Order Detail'!C:C)</f>
        <v>0</v>
      </c>
    </row>
    <row r="77" spans="5:5" x14ac:dyDescent="0.2">
      <c r="E77">
        <f>IFERROR(VLOOKUP(D77,Pricing!$B$2:$C$18,2,0),0)+SUMIF('Order Detail'!$A:$A,A77,'Order Detail'!C:C)</f>
        <v>0</v>
      </c>
    </row>
    <row r="78" spans="5:5" x14ac:dyDescent="0.2">
      <c r="E78">
        <f>IFERROR(VLOOKUP(D78,Pricing!$B$2:$C$18,2,0),0)+SUMIF('Order Detail'!$A:$A,A78,'Order Detail'!C:C)</f>
        <v>0</v>
      </c>
    </row>
    <row r="79" spans="5:5" x14ac:dyDescent="0.2">
      <c r="E79">
        <f>IFERROR(VLOOKUP(D79,Pricing!$B$2:$C$18,2,0),0)+SUMIF('Order Detail'!$A:$A,A79,'Order Detail'!C:C)</f>
        <v>0</v>
      </c>
    </row>
    <row r="80" spans="5:5" x14ac:dyDescent="0.2">
      <c r="E80">
        <f>IFERROR(VLOOKUP(D80,Pricing!$B$2:$C$18,2,0),0)+SUMIF('Order Detail'!$A:$A,A80,'Order Detail'!C:C)</f>
        <v>0</v>
      </c>
    </row>
    <row r="81" spans="5:5" x14ac:dyDescent="0.2">
      <c r="E81">
        <f>IFERROR(VLOOKUP(D81,Pricing!$B$2:$C$18,2,0),0)+SUMIF('Order Detail'!$A:$A,A81,'Order Detail'!C:C)</f>
        <v>0</v>
      </c>
    </row>
    <row r="82" spans="5:5" x14ac:dyDescent="0.2">
      <c r="E82">
        <f>IFERROR(VLOOKUP(D82,Pricing!$B$2:$C$18,2,0),0)+SUMIF('Order Detail'!$A:$A,A82,'Order Detail'!C:C)</f>
        <v>0</v>
      </c>
    </row>
    <row r="83" spans="5:5" x14ac:dyDescent="0.2">
      <c r="E83">
        <f>IFERROR(VLOOKUP(D83,Pricing!$B$2:$C$18,2,0),0)+SUMIF('Order Detail'!$A:$A,A83,'Order Detail'!C:C)</f>
        <v>0</v>
      </c>
    </row>
    <row r="84" spans="5:5" x14ac:dyDescent="0.2">
      <c r="E84">
        <f>IFERROR(VLOOKUP(D84,Pricing!$B$2:$C$18,2,0),0)+SUMIF('Order Detail'!$A:$A,A84,'Order Detail'!C:C)</f>
        <v>0</v>
      </c>
    </row>
    <row r="85" spans="5:5" x14ac:dyDescent="0.2">
      <c r="E85">
        <f>IFERROR(VLOOKUP(D85,Pricing!$B$2:$C$18,2,0),0)+SUMIF('Order Detail'!$A:$A,A85,'Order Detail'!C:C)</f>
        <v>0</v>
      </c>
    </row>
    <row r="86" spans="5:5" x14ac:dyDescent="0.2">
      <c r="E86">
        <f>IFERROR(VLOOKUP(D86,Pricing!$B$2:$C$18,2,0),0)+SUMIF('Order Detail'!$A:$A,A86,'Order Detail'!C:C)</f>
        <v>0</v>
      </c>
    </row>
    <row r="87" spans="5:5" x14ac:dyDescent="0.2">
      <c r="E87">
        <f>IFERROR(VLOOKUP(D87,Pricing!$B$2:$C$18,2,0),0)+SUMIF('Order Detail'!$A:$A,A87,'Order Detail'!C:C)</f>
        <v>0</v>
      </c>
    </row>
    <row r="88" spans="5:5" x14ac:dyDescent="0.2">
      <c r="E88">
        <f>IFERROR(VLOOKUP(D88,Pricing!$B$2:$C$18,2,0),0)+SUMIF('Order Detail'!$A:$A,A88,'Order Detail'!C:C)</f>
        <v>0</v>
      </c>
    </row>
    <row r="89" spans="5:5" x14ac:dyDescent="0.2">
      <c r="E89">
        <f>IFERROR(VLOOKUP(D89,Pricing!$B$2:$C$18,2,0),0)+SUMIF('Order Detail'!$A:$A,A89,'Order Detail'!C:C)</f>
        <v>0</v>
      </c>
    </row>
    <row r="90" spans="5:5" x14ac:dyDescent="0.2">
      <c r="E90">
        <f>IFERROR(VLOOKUP(D90,Pricing!$B$2:$C$18,2,0),0)+SUMIF('Order Detail'!$A:$A,A90,'Order Detail'!C:C)</f>
        <v>0</v>
      </c>
    </row>
    <row r="91" spans="5:5" x14ac:dyDescent="0.2">
      <c r="E91">
        <f>IFERROR(VLOOKUP(D91,Pricing!$B$2:$C$18,2,0),0)+SUMIF('Order Detail'!$A:$A,A91,'Order Detail'!C:C)</f>
        <v>0</v>
      </c>
    </row>
    <row r="92" spans="5:5" x14ac:dyDescent="0.2">
      <c r="E92">
        <f>IFERROR(VLOOKUP(D92,Pricing!$B$2:$C$18,2,0),0)+SUMIF('Order Detail'!$A:$A,A92,'Order Detail'!C:C)</f>
        <v>0</v>
      </c>
    </row>
    <row r="93" spans="5:5" x14ac:dyDescent="0.2">
      <c r="E93">
        <f>IFERROR(VLOOKUP(D93,Pricing!$B$2:$C$18,2,0),0)+SUMIF('Order Detail'!$A:$A,A93,'Order Detail'!C:C)</f>
        <v>0</v>
      </c>
    </row>
    <row r="94" spans="5:5" x14ac:dyDescent="0.2">
      <c r="E94">
        <f>IFERROR(VLOOKUP(D94,Pricing!$B$2:$C$18,2,0),0)+SUMIF('Order Detail'!$A:$A,A94,'Order Detail'!C:C)</f>
        <v>0</v>
      </c>
    </row>
    <row r="95" spans="5:5" x14ac:dyDescent="0.2">
      <c r="E95">
        <f>IFERROR(VLOOKUP(D95,Pricing!$B$2:$C$18,2,0),0)+SUMIF('Order Detail'!$A:$A,A95,'Order Detail'!C:C)</f>
        <v>0</v>
      </c>
    </row>
    <row r="96" spans="5:5" x14ac:dyDescent="0.2">
      <c r="E96">
        <f>IFERROR(VLOOKUP(D96,Pricing!$B$2:$C$18,2,0),0)+SUMIF('Order Detail'!$A:$A,A96,'Order Detail'!C:C)</f>
        <v>0</v>
      </c>
    </row>
    <row r="97" spans="5:5" x14ac:dyDescent="0.2">
      <c r="E97">
        <f>IFERROR(VLOOKUP(D97,Pricing!$B$2:$C$18,2,0),0)+SUMIF('Order Detail'!$A:$A,A97,'Order Detail'!C:C)</f>
        <v>0</v>
      </c>
    </row>
    <row r="98" spans="5:5" x14ac:dyDescent="0.2">
      <c r="E98">
        <f>IFERROR(VLOOKUP(D98,Pricing!$B$2:$C$18,2,0),0)+SUMIF('Order Detail'!$A:$A,A98,'Order Detail'!C:C)</f>
        <v>0</v>
      </c>
    </row>
    <row r="99" spans="5:5" x14ac:dyDescent="0.2">
      <c r="E99">
        <f>IFERROR(VLOOKUP(D99,Pricing!$B$2:$C$18,2,0),0)+SUMIF('Order Detail'!$A:$A,A99,'Order Detail'!C:C)</f>
        <v>0</v>
      </c>
    </row>
    <row r="100" spans="5:5" x14ac:dyDescent="0.2">
      <c r="E100">
        <f>IFERROR(VLOOKUP(D100,Pricing!$B$2:$C$18,2,0),0)+SUMIF('Order Detail'!$A:$A,A100,'Order Detail'!C:C)</f>
        <v>0</v>
      </c>
    </row>
    <row r="101" spans="5:5" x14ac:dyDescent="0.2">
      <c r="E101">
        <f>IFERROR(VLOOKUP(D101,Pricing!$B$2:$C$18,2,0),0)+SUMIF('Order Detail'!$A:$A,A101,'Order Detail'!C:C)</f>
        <v>0</v>
      </c>
    </row>
    <row r="102" spans="5:5" x14ac:dyDescent="0.2">
      <c r="E102">
        <f>IFERROR(VLOOKUP(D102,Pricing!$B$2:$C$18,2,0),0)+SUMIF('Order Detail'!$A:$A,A102,'Order Detail'!C:C)</f>
        <v>0</v>
      </c>
    </row>
    <row r="103" spans="5:5" x14ac:dyDescent="0.2">
      <c r="E103">
        <f>IFERROR(VLOOKUP(D103,Pricing!$B$2:$C$18,2,0),0)+SUMIF('Order Detail'!$A:$A,A103,'Order Detail'!C:C)</f>
        <v>0</v>
      </c>
    </row>
    <row r="104" spans="5:5" x14ac:dyDescent="0.2">
      <c r="E104">
        <f>IFERROR(VLOOKUP(D104,Pricing!$B$2:$C$18,2,0),0)+SUMIF('Order Detail'!$A:$A,A104,'Order Detail'!C:C)</f>
        <v>0</v>
      </c>
    </row>
    <row r="105" spans="5:5" x14ac:dyDescent="0.2">
      <c r="E105">
        <f>IFERROR(VLOOKUP(D105,Pricing!$B$2:$C$18,2,0),0)+SUMIF('Order Detail'!$A:$A,A105,'Order Detail'!C:C)</f>
        <v>0</v>
      </c>
    </row>
    <row r="106" spans="5:5" x14ac:dyDescent="0.2">
      <c r="E106">
        <f>IFERROR(VLOOKUP(D106,Pricing!$B$2:$C$18,2,0),0)+SUMIF('Order Detail'!$A:$A,A106,'Order Detail'!C:C)</f>
        <v>0</v>
      </c>
    </row>
    <row r="107" spans="5:5" x14ac:dyDescent="0.2">
      <c r="E107">
        <f>IFERROR(VLOOKUP(D107,Pricing!$B$2:$C$18,2,0),0)+SUMIF('Order Detail'!$A:$A,A107,'Order Detail'!C:C)</f>
        <v>0</v>
      </c>
    </row>
    <row r="108" spans="5:5" x14ac:dyDescent="0.2">
      <c r="E108">
        <f>IFERROR(VLOOKUP(D108,Pricing!$B$2:$C$18,2,0),0)+SUMIF('Order Detail'!$A:$A,A108,'Order Detail'!C:C)</f>
        <v>0</v>
      </c>
    </row>
    <row r="109" spans="5:5" x14ac:dyDescent="0.2">
      <c r="E109">
        <f>IFERROR(VLOOKUP(D109,Pricing!$B$2:$C$18,2,0),0)+SUMIF('Order Detail'!$A:$A,A109,'Order Detail'!C:C)</f>
        <v>0</v>
      </c>
    </row>
    <row r="110" spans="5:5" x14ac:dyDescent="0.2">
      <c r="E110">
        <f>IFERROR(VLOOKUP(D110,Pricing!$B$2:$C$18,2,0),0)+SUMIF('Order Detail'!$A:$A,A110,'Order Detail'!C:C)</f>
        <v>0</v>
      </c>
    </row>
    <row r="111" spans="5:5" x14ac:dyDescent="0.2">
      <c r="E111">
        <f>IFERROR(VLOOKUP(D111,Pricing!$B$2:$C$18,2,0),0)+SUMIF('Order Detail'!$A:$A,A111,'Order Detail'!C:C)</f>
        <v>0</v>
      </c>
    </row>
    <row r="112" spans="5:5" x14ac:dyDescent="0.2">
      <c r="E112">
        <f>IFERROR(VLOOKUP(D112,Pricing!$B$2:$C$18,2,0),0)+SUMIF('Order Detail'!$A:$A,A112,'Order Detail'!C:C)</f>
        <v>0</v>
      </c>
    </row>
    <row r="113" spans="5:5" x14ac:dyDescent="0.2">
      <c r="E113">
        <f>IFERROR(VLOOKUP(D113,Pricing!$B$2:$C$18,2,0),0)+SUMIF('Order Detail'!$A:$A,A113,'Order Detail'!C:C)</f>
        <v>0</v>
      </c>
    </row>
    <row r="114" spans="5:5" x14ac:dyDescent="0.2">
      <c r="E114">
        <f>IFERROR(VLOOKUP(D114,Pricing!$B$2:$C$18,2,0),0)+SUMIF('Order Detail'!$A:$A,A114,'Order Detail'!C:C)</f>
        <v>0</v>
      </c>
    </row>
    <row r="115" spans="5:5" x14ac:dyDescent="0.2">
      <c r="E115">
        <f>IFERROR(VLOOKUP(D115,Pricing!$B$2:$C$18,2,0),0)+SUMIF('Order Detail'!$A:$A,A115,'Order Detail'!C:C)</f>
        <v>0</v>
      </c>
    </row>
    <row r="116" spans="5:5" x14ac:dyDescent="0.2">
      <c r="E116">
        <f>IFERROR(VLOOKUP(D116,Pricing!$B$2:$C$18,2,0),0)+SUMIF('Order Detail'!$A:$A,A116,'Order Detail'!C:C)</f>
        <v>0</v>
      </c>
    </row>
    <row r="117" spans="5:5" x14ac:dyDescent="0.2">
      <c r="E117">
        <f>IFERROR(VLOOKUP(D117,Pricing!$B$2:$C$18,2,0),0)+SUMIF('Order Detail'!$A:$A,A117,'Order Detail'!C:C)</f>
        <v>0</v>
      </c>
    </row>
    <row r="118" spans="5:5" x14ac:dyDescent="0.2">
      <c r="E118">
        <f>IFERROR(VLOOKUP(D118,Pricing!$B$2:$C$18,2,0),0)+SUMIF('Order Detail'!$A:$A,A118,'Order Detail'!C:C)</f>
        <v>0</v>
      </c>
    </row>
    <row r="119" spans="5:5" x14ac:dyDescent="0.2">
      <c r="E119">
        <f>IFERROR(VLOOKUP(D119,Pricing!$B$2:$C$18,2,0),0)+SUMIF('Order Detail'!$A:$A,A119,'Order Detail'!C:C)</f>
        <v>0</v>
      </c>
    </row>
    <row r="120" spans="5:5" x14ac:dyDescent="0.2">
      <c r="E120">
        <f>IFERROR(VLOOKUP(D120,Pricing!$B$2:$C$18,2,0),0)+SUMIF('Order Detail'!$A:$A,A120,'Order Detail'!C:C)</f>
        <v>0</v>
      </c>
    </row>
    <row r="121" spans="5:5" x14ac:dyDescent="0.2">
      <c r="E121">
        <f>IFERROR(VLOOKUP(D121,Pricing!$B$2:$C$18,2,0),0)+SUMIF('Order Detail'!$A:$A,A121,'Order Detail'!C:C)</f>
        <v>0</v>
      </c>
    </row>
    <row r="122" spans="5:5" x14ac:dyDescent="0.2">
      <c r="E122">
        <f>IFERROR(VLOOKUP(D122,Pricing!$B$2:$C$18,2,0),0)+SUMIF('Order Detail'!$A:$A,A122,'Order Detail'!C:C)</f>
        <v>0</v>
      </c>
    </row>
    <row r="123" spans="5:5" x14ac:dyDescent="0.2">
      <c r="E123">
        <f>IFERROR(VLOOKUP(D123,Pricing!$B$2:$C$18,2,0),0)+SUMIF('Order Detail'!$A:$A,A123,'Order Detail'!C:C)</f>
        <v>0</v>
      </c>
    </row>
    <row r="124" spans="5:5" x14ac:dyDescent="0.2">
      <c r="E124">
        <f>IFERROR(VLOOKUP(D124,Pricing!$B$2:$C$18,2,0),0)+SUMIF('Order Detail'!$A:$A,A124,'Order Detail'!C:C)</f>
        <v>0</v>
      </c>
    </row>
    <row r="125" spans="5:5" x14ac:dyDescent="0.2">
      <c r="E125">
        <f>IFERROR(VLOOKUP(D125,Pricing!$B$2:$C$18,2,0),0)+SUMIF('Order Detail'!$A:$A,A125,'Order Detail'!C:C)</f>
        <v>0</v>
      </c>
    </row>
    <row r="126" spans="5:5" x14ac:dyDescent="0.2">
      <c r="E126">
        <f>IFERROR(VLOOKUP(D126,Pricing!$B$2:$C$18,2,0),0)+SUMIF('Order Detail'!$A:$A,A126,'Order Detail'!C:C)</f>
        <v>0</v>
      </c>
    </row>
    <row r="127" spans="5:5" x14ac:dyDescent="0.2">
      <c r="E127">
        <f>IFERROR(VLOOKUP(D127,Pricing!$B$2:$C$18,2,0),0)+SUMIF('Order Detail'!$A:$A,A127,'Order Detail'!C:C)</f>
        <v>0</v>
      </c>
    </row>
    <row r="128" spans="5:5" x14ac:dyDescent="0.2">
      <c r="E128">
        <f>IFERROR(VLOOKUP(D128,Pricing!$B$2:$C$18,2,0),0)+SUMIF('Order Detail'!$A:$A,A128,'Order Detail'!C:C)</f>
        <v>0</v>
      </c>
    </row>
    <row r="129" spans="5:5" x14ac:dyDescent="0.2">
      <c r="E129">
        <f>IFERROR(VLOOKUP(D129,Pricing!$B$2:$C$18,2,0),0)+SUMIF('Order Detail'!$A:$A,A129,'Order Detail'!C:C)</f>
        <v>0</v>
      </c>
    </row>
    <row r="130" spans="5:5" x14ac:dyDescent="0.2">
      <c r="E130">
        <f>IFERROR(VLOOKUP(D130,Pricing!$B$2:$C$18,2,0),0)+SUMIF('Order Detail'!$A:$A,A130,'Order Detail'!C:C)</f>
        <v>0</v>
      </c>
    </row>
    <row r="131" spans="5:5" x14ac:dyDescent="0.2">
      <c r="E131">
        <f>IFERROR(VLOOKUP(D131,Pricing!$B$2:$C$18,2,0),0)+SUMIF('Order Detail'!$A:$A,A131,'Order Detail'!C:C)</f>
        <v>0</v>
      </c>
    </row>
    <row r="132" spans="5:5" x14ac:dyDescent="0.2">
      <c r="E132">
        <f>IFERROR(VLOOKUP(D132,Pricing!$B$2:$C$18,2,0),0)+SUMIF('Order Detail'!$A:$A,A132,'Order Detail'!C:C)</f>
        <v>0</v>
      </c>
    </row>
    <row r="133" spans="5:5" x14ac:dyDescent="0.2">
      <c r="E133">
        <f>IFERROR(VLOOKUP(D133,Pricing!$B$2:$C$18,2,0),0)+SUMIF('Order Detail'!$A:$A,A133,'Order Detail'!C:C)</f>
        <v>0</v>
      </c>
    </row>
    <row r="134" spans="5:5" x14ac:dyDescent="0.2">
      <c r="E134">
        <f>IFERROR(VLOOKUP(D134,Pricing!$B$2:$C$18,2,0),0)+SUMIF('Order Detail'!$A:$A,A134,'Order Detail'!C:C)</f>
        <v>0</v>
      </c>
    </row>
    <row r="135" spans="5:5" x14ac:dyDescent="0.2">
      <c r="E135">
        <f>IFERROR(VLOOKUP(D135,Pricing!$B$2:$C$18,2,0),0)+SUMIF('Order Detail'!$A:$A,A135,'Order Detail'!C:C)</f>
        <v>0</v>
      </c>
    </row>
    <row r="136" spans="5:5" x14ac:dyDescent="0.2">
      <c r="E136">
        <f>IFERROR(VLOOKUP(D136,Pricing!$B$2:$C$18,2,0),0)+SUMIF('Order Detail'!$A:$A,A136,'Order Detail'!C:C)</f>
        <v>0</v>
      </c>
    </row>
    <row r="137" spans="5:5" x14ac:dyDescent="0.2">
      <c r="E137">
        <f>IFERROR(VLOOKUP(D137,Pricing!$B$2:$C$18,2,0),0)+SUMIF('Order Detail'!$A:$A,A137,'Order Detail'!C:C)</f>
        <v>0</v>
      </c>
    </row>
    <row r="138" spans="5:5" x14ac:dyDescent="0.2">
      <c r="E138">
        <f>IFERROR(VLOOKUP(D138,Pricing!$B$2:$C$18,2,0),0)+SUMIF('Order Detail'!$A:$A,A138,'Order Detail'!C:C)</f>
        <v>0</v>
      </c>
    </row>
    <row r="139" spans="5:5" x14ac:dyDescent="0.2">
      <c r="E139">
        <f>IFERROR(VLOOKUP(D139,Pricing!$B$2:$C$18,2,0),0)+SUMIF('Order Detail'!$A:$A,A139,'Order Detail'!C:C)</f>
        <v>0</v>
      </c>
    </row>
    <row r="140" spans="5:5" x14ac:dyDescent="0.2">
      <c r="E140">
        <f>IFERROR(VLOOKUP(D140,Pricing!$B$2:$C$18,2,0),0)+SUMIF('Order Detail'!$A:$A,A140,'Order Detail'!C:C)</f>
        <v>0</v>
      </c>
    </row>
    <row r="141" spans="5:5" x14ac:dyDescent="0.2">
      <c r="E141">
        <f>IFERROR(VLOOKUP(D141,Pricing!$B$2:$C$18,2,0),0)+SUMIF('Order Detail'!$A:$A,A141,'Order Detail'!C:C)</f>
        <v>0</v>
      </c>
    </row>
    <row r="142" spans="5:5" x14ac:dyDescent="0.2">
      <c r="E142">
        <f>IFERROR(VLOOKUP(D142,Pricing!$B$2:$C$18,2,0),0)+SUMIF('Order Detail'!$A:$A,A142,'Order Detail'!C:C)</f>
        <v>0</v>
      </c>
    </row>
    <row r="143" spans="5:5" x14ac:dyDescent="0.2">
      <c r="E143">
        <f>IFERROR(VLOOKUP(D143,Pricing!$B$2:$C$18,2,0),0)+SUMIF('Order Detail'!$A:$A,A143,'Order Detail'!C:C)</f>
        <v>0</v>
      </c>
    </row>
    <row r="144" spans="5:5" x14ac:dyDescent="0.2">
      <c r="E144">
        <f>IFERROR(VLOOKUP(D144,Pricing!$B$2:$C$18,2,0),0)+SUMIF('Order Detail'!$A:$A,A144,'Order Detail'!C:C)</f>
        <v>0</v>
      </c>
    </row>
    <row r="145" spans="5:5" x14ac:dyDescent="0.2">
      <c r="E145">
        <f>IFERROR(VLOOKUP(D145,Pricing!$B$2:$C$18,2,0),0)+SUMIF('Order Detail'!$A:$A,A145,'Order Detail'!C:C)</f>
        <v>0</v>
      </c>
    </row>
    <row r="146" spans="5:5" x14ac:dyDescent="0.2">
      <c r="E146">
        <f>IFERROR(VLOOKUP(D146,Pricing!$B$2:$C$18,2,0),0)+SUMIF('Order Detail'!$A:$A,A146,'Order Detail'!C:C)</f>
        <v>0</v>
      </c>
    </row>
    <row r="147" spans="5:5" x14ac:dyDescent="0.2">
      <c r="E147">
        <f>IFERROR(VLOOKUP(D147,Pricing!$B$2:$C$18,2,0),0)+SUMIF('Order Detail'!$A:$A,A147,'Order Detail'!C:C)</f>
        <v>0</v>
      </c>
    </row>
    <row r="148" spans="5:5" x14ac:dyDescent="0.2">
      <c r="E148">
        <f>IFERROR(VLOOKUP(D148,Pricing!$B$2:$C$18,2,0),0)+SUMIF('Order Detail'!$A:$A,A148,'Order Detail'!C:C)</f>
        <v>0</v>
      </c>
    </row>
    <row r="149" spans="5:5" x14ac:dyDescent="0.2">
      <c r="E149">
        <f>IFERROR(VLOOKUP(D149,Pricing!$B$2:$C$18,2,0),0)+SUMIF('Order Detail'!$A:$A,A149,'Order Detail'!C:C)</f>
        <v>0</v>
      </c>
    </row>
    <row r="150" spans="5:5" x14ac:dyDescent="0.2">
      <c r="E150">
        <f>IFERROR(VLOOKUP(D150,Pricing!$B$2:$C$18,2,0),0)+SUMIF('Order Detail'!$A:$A,A150,'Order Detail'!C:C)</f>
        <v>0</v>
      </c>
    </row>
    <row r="151" spans="5:5" x14ac:dyDescent="0.2">
      <c r="E151">
        <f>IFERROR(VLOOKUP(D151,Pricing!$B$2:$C$18,2,0),0)+SUMIF('Order Detail'!$A:$A,A151,'Order Detail'!C:C)</f>
        <v>0</v>
      </c>
    </row>
    <row r="152" spans="5:5" x14ac:dyDescent="0.2">
      <c r="E152">
        <f>IFERROR(VLOOKUP(D152,Pricing!$B$2:$C$18,2,0),0)+SUMIF('Order Detail'!$A:$A,A152,'Order Detail'!C:C)</f>
        <v>0</v>
      </c>
    </row>
    <row r="153" spans="5:5" x14ac:dyDescent="0.2">
      <c r="E153">
        <f>IFERROR(VLOOKUP(D153,Pricing!$B$2:$C$18,2,0),0)+SUMIF('Order Detail'!$A:$A,A153,'Order Detail'!C:C)</f>
        <v>0</v>
      </c>
    </row>
    <row r="154" spans="5:5" x14ac:dyDescent="0.2">
      <c r="E154">
        <f>IFERROR(VLOOKUP(D154,Pricing!$B$2:$C$18,2,0),0)+SUMIF('Order Detail'!$A:$A,A154,'Order Detail'!C:C)</f>
        <v>0</v>
      </c>
    </row>
    <row r="155" spans="5:5" x14ac:dyDescent="0.2">
      <c r="E155">
        <f>IFERROR(VLOOKUP(D155,Pricing!$B$2:$C$18,2,0),0)+SUMIF('Order Detail'!$A:$A,A155,'Order Detail'!C:C)</f>
        <v>0</v>
      </c>
    </row>
    <row r="156" spans="5:5" x14ac:dyDescent="0.2">
      <c r="E156">
        <f>IFERROR(VLOOKUP(D156,Pricing!$B$2:$C$18,2,0),0)+SUMIF('Order Detail'!$A:$A,A156,'Order Detail'!C:C)</f>
        <v>0</v>
      </c>
    </row>
    <row r="157" spans="5:5" x14ac:dyDescent="0.2">
      <c r="E157">
        <f>IFERROR(VLOOKUP(D157,Pricing!$B$2:$C$18,2,0),0)+SUMIF('Order Detail'!$A:$A,A157,'Order Detail'!C:C)</f>
        <v>0</v>
      </c>
    </row>
    <row r="158" spans="5:5" x14ac:dyDescent="0.2">
      <c r="E158">
        <f>IFERROR(VLOOKUP(D158,Pricing!$B$2:$C$18,2,0),0)+SUMIF('Order Detail'!$A:$A,A158,'Order Detail'!C:C)</f>
        <v>0</v>
      </c>
    </row>
    <row r="159" spans="5:5" x14ac:dyDescent="0.2">
      <c r="E159">
        <f>IFERROR(VLOOKUP(D159,Pricing!$B$2:$C$18,2,0),0)+SUMIF('Order Detail'!$A:$A,A159,'Order Detail'!C:C)</f>
        <v>0</v>
      </c>
    </row>
    <row r="160" spans="5:5" x14ac:dyDescent="0.2">
      <c r="E160">
        <f>IFERROR(VLOOKUP(D160,Pricing!$B$2:$C$18,2,0),0)+SUMIF('Order Detail'!$A:$A,A160,'Order Detail'!C:C)</f>
        <v>0</v>
      </c>
    </row>
    <row r="161" spans="5:5" x14ac:dyDescent="0.2">
      <c r="E161">
        <f>IFERROR(VLOOKUP(D161,Pricing!$B$2:$C$18,2,0),0)+SUMIF('Order Detail'!$A:$A,A161,'Order Detail'!C:C)</f>
        <v>0</v>
      </c>
    </row>
    <row r="162" spans="5:5" x14ac:dyDescent="0.2">
      <c r="E162">
        <f>IFERROR(VLOOKUP(D162,Pricing!$B$2:$C$18,2,0),0)+SUMIF('Order Detail'!$A:$A,A162,'Order Detail'!C:C)</f>
        <v>0</v>
      </c>
    </row>
    <row r="163" spans="5:5" x14ac:dyDescent="0.2">
      <c r="E163">
        <f>IFERROR(VLOOKUP(D163,Pricing!$B$2:$C$18,2,0),0)+SUMIF('Order Detail'!$A:$A,A163,'Order Detail'!C:C)</f>
        <v>0</v>
      </c>
    </row>
    <row r="164" spans="5:5" x14ac:dyDescent="0.2">
      <c r="E164">
        <f>IFERROR(VLOOKUP(D164,Pricing!$B$2:$C$18,2,0),0)+SUMIF('Order Detail'!$A:$A,A164,'Order Detail'!C:C)</f>
        <v>0</v>
      </c>
    </row>
    <row r="165" spans="5:5" x14ac:dyDescent="0.2">
      <c r="E165">
        <f>IFERROR(VLOOKUP(D165,Pricing!$B$2:$C$18,2,0),0)+SUMIF('Order Detail'!$A:$A,A165,'Order Detail'!C:C)</f>
        <v>0</v>
      </c>
    </row>
    <row r="166" spans="5:5" x14ac:dyDescent="0.2">
      <c r="E166">
        <f>IFERROR(VLOOKUP(D166,Pricing!$B$2:$C$18,2,0),0)+SUMIF('Order Detail'!$A:$A,A166,'Order Detail'!C:C)</f>
        <v>0</v>
      </c>
    </row>
    <row r="167" spans="5:5" x14ac:dyDescent="0.2">
      <c r="E167">
        <f>IFERROR(VLOOKUP(D167,Pricing!$B$2:$C$18,2,0),0)+SUMIF('Order Detail'!$A:$A,A167,'Order Detail'!C:C)</f>
        <v>0</v>
      </c>
    </row>
    <row r="168" spans="5:5" x14ac:dyDescent="0.2">
      <c r="E168">
        <f>IFERROR(VLOOKUP(D168,Pricing!$B$2:$C$18,2,0),0)+SUMIF('Order Detail'!$A:$A,A168,'Order Detail'!C:C)</f>
        <v>0</v>
      </c>
    </row>
    <row r="169" spans="5:5" x14ac:dyDescent="0.2">
      <c r="E169">
        <f>IFERROR(VLOOKUP(D169,Pricing!$B$2:$C$18,2,0),0)+SUMIF('Order Detail'!$A:$A,A169,'Order Detail'!C:C)</f>
        <v>0</v>
      </c>
    </row>
    <row r="170" spans="5:5" x14ac:dyDescent="0.2">
      <c r="E170">
        <f>IFERROR(VLOOKUP(D170,Pricing!$B$2:$C$18,2,0),0)+SUMIF('Order Detail'!$A:$A,A170,'Order Detail'!C:C)</f>
        <v>0</v>
      </c>
    </row>
    <row r="171" spans="5:5" x14ac:dyDescent="0.2">
      <c r="E171">
        <f>IFERROR(VLOOKUP(D171,Pricing!$B$2:$C$18,2,0),0)+SUMIF('Order Detail'!$A:$A,A171,'Order Detail'!C:C)</f>
        <v>0</v>
      </c>
    </row>
    <row r="172" spans="5:5" x14ac:dyDescent="0.2">
      <c r="E172">
        <f>IFERROR(VLOOKUP(D172,Pricing!$B$2:$C$18,2,0),0)+SUMIF('Order Detail'!$A:$A,A172,'Order Detail'!C:C)</f>
        <v>0</v>
      </c>
    </row>
    <row r="173" spans="5:5" x14ac:dyDescent="0.2">
      <c r="E173">
        <f>IFERROR(VLOOKUP(D173,Pricing!$B$2:$C$18,2,0),0)+SUMIF('Order Detail'!$A:$A,A173,'Order Detail'!C:C)</f>
        <v>0</v>
      </c>
    </row>
    <row r="174" spans="5:5" x14ac:dyDescent="0.2">
      <c r="E174">
        <f>IFERROR(VLOOKUP(D174,Pricing!$B$2:$C$18,2,0),0)+SUMIF('Order Detail'!$A:$A,A174,'Order Detail'!C:C)</f>
        <v>0</v>
      </c>
    </row>
    <row r="175" spans="5:5" x14ac:dyDescent="0.2">
      <c r="E175">
        <f>IFERROR(VLOOKUP(D175,Pricing!$B$2:$C$18,2,0),0)+SUMIF('Order Detail'!$A:$A,A175,'Order Detail'!C:C)</f>
        <v>0</v>
      </c>
    </row>
    <row r="176" spans="5:5" x14ac:dyDescent="0.2">
      <c r="E176">
        <f>IFERROR(VLOOKUP(D176,Pricing!$B$2:$C$18,2,0),0)+SUMIF('Order Detail'!$A:$A,A176,'Order Detail'!C:C)</f>
        <v>0</v>
      </c>
    </row>
    <row r="177" spans="5:5" x14ac:dyDescent="0.2">
      <c r="E177">
        <f>IFERROR(VLOOKUP(D177,Pricing!$B$2:$C$18,2,0),0)+SUMIF('Order Detail'!$A:$A,A177,'Order Detail'!C:C)</f>
        <v>0</v>
      </c>
    </row>
    <row r="178" spans="5:5" x14ac:dyDescent="0.2">
      <c r="E178">
        <f>IFERROR(VLOOKUP(D178,Pricing!$B$2:$C$18,2,0),0)+SUMIF('Order Detail'!$A:$A,A178,'Order Detail'!C:C)</f>
        <v>0</v>
      </c>
    </row>
    <row r="179" spans="5:5" x14ac:dyDescent="0.2">
      <c r="E179">
        <f>IFERROR(VLOOKUP(D179,Pricing!$B$2:$C$18,2,0),0)+SUMIF('Order Detail'!$A:$A,A179,'Order Detail'!C:C)</f>
        <v>0</v>
      </c>
    </row>
    <row r="180" spans="5:5" x14ac:dyDescent="0.2">
      <c r="E180">
        <f>IFERROR(VLOOKUP(D180,Pricing!$B$2:$C$18,2,0),0)+SUMIF('Order Detail'!$A:$A,A180,'Order Detail'!C:C)</f>
        <v>0</v>
      </c>
    </row>
    <row r="181" spans="5:5" x14ac:dyDescent="0.2">
      <c r="E181">
        <f>IFERROR(VLOOKUP(D181,Pricing!$B$2:$C$18,2,0),0)+SUMIF('Order Detail'!$A:$A,A181,'Order Detail'!C:C)</f>
        <v>0</v>
      </c>
    </row>
    <row r="182" spans="5:5" x14ac:dyDescent="0.2">
      <c r="E182">
        <f>IFERROR(VLOOKUP(D182,Pricing!$B$2:$C$18,2,0),0)+SUMIF('Order Detail'!$A:$A,A182,'Order Detail'!C:C)</f>
        <v>0</v>
      </c>
    </row>
    <row r="183" spans="5:5" x14ac:dyDescent="0.2">
      <c r="E183">
        <f>IFERROR(VLOOKUP(D183,Pricing!$B$2:$C$18,2,0),0)+SUMIF('Order Detail'!$A:$A,A183,'Order Detail'!C:C)</f>
        <v>0</v>
      </c>
    </row>
    <row r="184" spans="5:5" x14ac:dyDescent="0.2">
      <c r="E184">
        <f>IFERROR(VLOOKUP(D184,Pricing!$B$2:$C$18,2,0),0)+SUMIF('Order Detail'!$A:$A,A184,'Order Detail'!C:C)</f>
        <v>0</v>
      </c>
    </row>
    <row r="185" spans="5:5" x14ac:dyDescent="0.2">
      <c r="E185">
        <f>IFERROR(VLOOKUP(D185,Pricing!$B$2:$C$18,2,0),0)+SUMIF('Order Detail'!$A:$A,A185,'Order Detail'!C:C)</f>
        <v>0</v>
      </c>
    </row>
    <row r="186" spans="5:5" x14ac:dyDescent="0.2">
      <c r="E186">
        <f>IFERROR(VLOOKUP(D186,Pricing!$B$2:$C$18,2,0),0)+SUMIF('Order Detail'!$A:$A,A186,'Order Detail'!C:C)</f>
        <v>0</v>
      </c>
    </row>
    <row r="187" spans="5:5" x14ac:dyDescent="0.2">
      <c r="E187">
        <f>IFERROR(VLOOKUP(D187,Pricing!$B$2:$C$18,2,0),0)+SUMIF('Order Detail'!$A:$A,A187,'Order Detail'!C:C)</f>
        <v>0</v>
      </c>
    </row>
    <row r="188" spans="5:5" x14ac:dyDescent="0.2">
      <c r="E188">
        <f>IFERROR(VLOOKUP(D188,Pricing!$B$2:$C$18,2,0),0)+SUMIF('Order Detail'!$A:$A,A188,'Order Detail'!C:C)</f>
        <v>0</v>
      </c>
    </row>
    <row r="189" spans="5:5" x14ac:dyDescent="0.2">
      <c r="E189">
        <f>IFERROR(VLOOKUP(D189,Pricing!$B$2:$C$18,2,0),0)+SUMIF('Order Detail'!$A:$A,A189,'Order Detail'!C:C)</f>
        <v>0</v>
      </c>
    </row>
    <row r="190" spans="5:5" x14ac:dyDescent="0.2">
      <c r="E190">
        <f>IFERROR(VLOOKUP(D190,Pricing!$B$2:$C$18,2,0),0)+SUMIF('Order Detail'!$A:$A,A190,'Order Detail'!C:C)</f>
        <v>0</v>
      </c>
    </row>
    <row r="191" spans="5:5" x14ac:dyDescent="0.2">
      <c r="E191">
        <f>IFERROR(VLOOKUP(D191,Pricing!$B$2:$C$18,2,0),0)+SUMIF('Order Detail'!$A:$A,A191,'Order Detail'!C:C)</f>
        <v>0</v>
      </c>
    </row>
    <row r="192" spans="5:5" x14ac:dyDescent="0.2">
      <c r="E192">
        <f>IFERROR(VLOOKUP(D192,Pricing!$B$2:$C$18,2,0),0)+SUMIF('Order Detail'!$A:$A,A192,'Order Detail'!C:C)</f>
        <v>0</v>
      </c>
    </row>
    <row r="193" spans="5:5" x14ac:dyDescent="0.2">
      <c r="E193">
        <f>IFERROR(VLOOKUP(D193,Pricing!$B$2:$C$18,2,0),0)+SUMIF('Order Detail'!$A:$A,A193,'Order Detail'!C:C)</f>
        <v>0</v>
      </c>
    </row>
    <row r="194" spans="5:5" x14ac:dyDescent="0.2">
      <c r="E194">
        <f>IFERROR(VLOOKUP(D194,Pricing!$B$2:$C$18,2,0),0)+SUMIF('Order Detail'!$A:$A,A194,'Order Detail'!C:C)</f>
        <v>0</v>
      </c>
    </row>
    <row r="195" spans="5:5" x14ac:dyDescent="0.2">
      <c r="E195">
        <f>IFERROR(VLOOKUP(D195,Pricing!$B$2:$C$18,2,0),0)+SUMIF('Order Detail'!$A:$A,A195,'Order Detail'!C:C)</f>
        <v>0</v>
      </c>
    </row>
    <row r="196" spans="5:5" x14ac:dyDescent="0.2">
      <c r="E196">
        <f>IFERROR(VLOOKUP(D196,Pricing!$B$2:$C$18,2,0),0)+SUMIF('Order Detail'!$A:$A,A196,'Order Detail'!C:C)</f>
        <v>0</v>
      </c>
    </row>
    <row r="197" spans="5:5" x14ac:dyDescent="0.2">
      <c r="E197">
        <f>IFERROR(VLOOKUP(D197,Pricing!$B$2:$C$18,2,0),0)+SUMIF('Order Detail'!$A:$A,A197,'Order Detail'!C:C)</f>
        <v>0</v>
      </c>
    </row>
    <row r="198" spans="5:5" x14ac:dyDescent="0.2">
      <c r="E198">
        <f>IFERROR(VLOOKUP(D198,Pricing!$B$2:$C$18,2,0),0)+SUMIF('Order Detail'!$A:$A,A198,'Order Detail'!C:C)</f>
        <v>0</v>
      </c>
    </row>
    <row r="199" spans="5:5" x14ac:dyDescent="0.2">
      <c r="E199">
        <f>IFERROR(VLOOKUP(D199,Pricing!$B$2:$C$18,2,0),0)+SUMIF('Order Detail'!$A:$A,A199,'Order Detail'!C:C)</f>
        <v>0</v>
      </c>
    </row>
    <row r="200" spans="5:5" x14ac:dyDescent="0.2">
      <c r="E200">
        <f>IFERROR(VLOOKUP(D200,Pricing!$B$2:$C$18,2,0),0)+SUMIF('Order Detail'!$A:$A,A200,'Order Detail'!C:C)</f>
        <v>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D5A5C39-FA2E-5744-AA0A-3DB4BEB18BC9}">
          <x14:formula1>
            <xm:f>Pricing!$B$2:$B$19</xm:f>
          </x14:formula1>
          <xm:sqref>D2:D318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60FEA-354B-ED47-B0A1-DAEEE63B3699}">
  <dimension ref="A1:C200"/>
  <sheetViews>
    <sheetView workbookViewId="0">
      <selection activeCell="B28" sqref="B28"/>
    </sheetView>
  </sheetViews>
  <sheetFormatPr baseColWidth="10" defaultRowHeight="16" x14ac:dyDescent="0.2"/>
  <cols>
    <col min="2" max="2" width="15" bestFit="1" customWidth="1"/>
  </cols>
  <sheetData>
    <row r="1" spans="1:3" x14ac:dyDescent="0.2">
      <c r="A1" t="s">
        <v>55</v>
      </c>
      <c r="B1" t="s">
        <v>0</v>
      </c>
      <c r="C1" t="s">
        <v>2</v>
      </c>
    </row>
    <row r="2" spans="1:3" x14ac:dyDescent="0.2">
      <c r="A2">
        <v>8</v>
      </c>
      <c r="B2" t="s">
        <v>18</v>
      </c>
      <c r="C2">
        <f>IFERROR(VLOOKUP(B2,Pricing!$B$2:$C$19,2,0),0)</f>
        <v>15000</v>
      </c>
    </row>
    <row r="3" spans="1:3" x14ac:dyDescent="0.2">
      <c r="A3">
        <v>8</v>
      </c>
      <c r="B3" t="s">
        <v>18</v>
      </c>
      <c r="C3">
        <f>IFERROR(VLOOKUP(B3,Pricing!$B$2:$C$19,2,0),0)</f>
        <v>15000</v>
      </c>
    </row>
    <row r="4" spans="1:3" x14ac:dyDescent="0.2">
      <c r="A4">
        <v>12</v>
      </c>
      <c r="B4" t="s">
        <v>18</v>
      </c>
      <c r="C4">
        <f>IFERROR(VLOOKUP(B4,Pricing!$B$2:$C$19,2,0),0)</f>
        <v>15000</v>
      </c>
    </row>
    <row r="5" spans="1:3" x14ac:dyDescent="0.2">
      <c r="A5">
        <v>12</v>
      </c>
      <c r="B5" t="s">
        <v>18</v>
      </c>
      <c r="C5">
        <f>IFERROR(VLOOKUP(B5,Pricing!$B$2:$C$19,2,0),0)</f>
        <v>15000</v>
      </c>
    </row>
    <row r="6" spans="1:3" x14ac:dyDescent="0.2">
      <c r="A6">
        <v>13</v>
      </c>
      <c r="B6" t="s">
        <v>18</v>
      </c>
      <c r="C6">
        <f>IFERROR(VLOOKUP(B6,Pricing!$B$2:$C$19,2,0),0)</f>
        <v>15000</v>
      </c>
    </row>
    <row r="7" spans="1:3" x14ac:dyDescent="0.2">
      <c r="A7">
        <v>13</v>
      </c>
      <c r="B7" t="s">
        <v>18</v>
      </c>
      <c r="C7">
        <f>IFERROR(VLOOKUP(B7,Pricing!$B$2:$C$19,2,0),0)</f>
        <v>15000</v>
      </c>
    </row>
    <row r="8" spans="1:3" x14ac:dyDescent="0.2">
      <c r="A8">
        <v>14</v>
      </c>
      <c r="B8" t="s">
        <v>18</v>
      </c>
      <c r="C8">
        <f>IFERROR(VLOOKUP(B8,Pricing!$B$2:$C$19,2,0),0)</f>
        <v>15000</v>
      </c>
    </row>
    <row r="9" spans="1:3" x14ac:dyDescent="0.2">
      <c r="A9">
        <v>14</v>
      </c>
      <c r="B9" t="s">
        <v>18</v>
      </c>
      <c r="C9">
        <f>IFERROR(VLOOKUP(B9,Pricing!$B$2:$C$19,2,0),0)</f>
        <v>15000</v>
      </c>
    </row>
    <row r="10" spans="1:3" x14ac:dyDescent="0.2">
      <c r="A10">
        <v>20</v>
      </c>
      <c r="B10" t="s">
        <v>18</v>
      </c>
      <c r="C10">
        <f>IFERROR(VLOOKUP(B10,Pricing!$B$2:$C$19,2,0),0)</f>
        <v>15000</v>
      </c>
    </row>
    <row r="11" spans="1:3" x14ac:dyDescent="0.2">
      <c r="A11">
        <v>20</v>
      </c>
      <c r="B11" t="s">
        <v>18</v>
      </c>
      <c r="C11">
        <f>IFERROR(VLOOKUP(B11,Pricing!$B$2:$C$19,2,0),0)</f>
        <v>15000</v>
      </c>
    </row>
    <row r="12" spans="1:3" x14ac:dyDescent="0.2">
      <c r="A12">
        <v>21</v>
      </c>
      <c r="B12" t="s">
        <v>18</v>
      </c>
      <c r="C12">
        <f>IFERROR(VLOOKUP(B12,Pricing!$B$2:$C$19,2,0),0)</f>
        <v>15000</v>
      </c>
    </row>
    <row r="13" spans="1:3" x14ac:dyDescent="0.2">
      <c r="A13">
        <v>21</v>
      </c>
      <c r="B13" t="s">
        <v>18</v>
      </c>
      <c r="C13">
        <f>IFERROR(VLOOKUP(B13,Pricing!$B$2:$C$19,2,0),0)</f>
        <v>15000</v>
      </c>
    </row>
    <row r="14" spans="1:3" x14ac:dyDescent="0.2">
      <c r="A14">
        <v>24</v>
      </c>
      <c r="B14" t="s">
        <v>11</v>
      </c>
      <c r="C14">
        <f>IFERROR(VLOOKUP(B14,Pricing!$B$2:$C$19,2,0),0)</f>
        <v>30000</v>
      </c>
    </row>
    <row r="15" spans="1:3" x14ac:dyDescent="0.2">
      <c r="A15">
        <v>24</v>
      </c>
      <c r="B15" t="s">
        <v>13</v>
      </c>
      <c r="C15">
        <f>IFERROR(VLOOKUP(B15,Pricing!$B$2:$C$19,2,0),0)</f>
        <v>15000</v>
      </c>
    </row>
    <row r="16" spans="1:3" x14ac:dyDescent="0.2">
      <c r="A16">
        <v>26</v>
      </c>
      <c r="B16" t="s">
        <v>18</v>
      </c>
      <c r="C16">
        <f>IFERROR(VLOOKUP(B16,Pricing!$B$2:$C$19,2,0),0)</f>
        <v>15000</v>
      </c>
    </row>
    <row r="17" spans="1:3" x14ac:dyDescent="0.2">
      <c r="A17">
        <v>26</v>
      </c>
      <c r="B17" t="s">
        <v>18</v>
      </c>
      <c r="C17">
        <f>IFERROR(VLOOKUP(B17,Pricing!$B$2:$C$19,2,0),0)</f>
        <v>15000</v>
      </c>
    </row>
    <row r="18" spans="1:3" x14ac:dyDescent="0.2">
      <c r="A18">
        <v>29</v>
      </c>
      <c r="B18" t="s">
        <v>12</v>
      </c>
      <c r="C18">
        <f>IFERROR(VLOOKUP(B18,Pricing!$B$2:$C$19,2,0),0)</f>
        <v>60000</v>
      </c>
    </row>
    <row r="19" spans="1:3" x14ac:dyDescent="0.2">
      <c r="A19">
        <v>29</v>
      </c>
      <c r="B19" t="s">
        <v>14</v>
      </c>
      <c r="C19">
        <f>IFERROR(VLOOKUP(B19,Pricing!$B$2:$C$19,2,0),0)</f>
        <v>25000</v>
      </c>
    </row>
    <row r="20" spans="1:3" x14ac:dyDescent="0.2">
      <c r="A20">
        <v>42</v>
      </c>
      <c r="B20" t="s">
        <v>18</v>
      </c>
      <c r="C20">
        <f>IFERROR(VLOOKUP(B20,Pricing!$B$2:$C$19,2,0),0)</f>
        <v>15000</v>
      </c>
    </row>
    <row r="21" spans="1:3" x14ac:dyDescent="0.2">
      <c r="A21">
        <v>42</v>
      </c>
      <c r="B21" t="s">
        <v>18</v>
      </c>
      <c r="C21">
        <f>IFERROR(VLOOKUP(B21,Pricing!$B$2:$C$19,2,0),0)</f>
        <v>15000</v>
      </c>
    </row>
    <row r="22" spans="1:3" x14ac:dyDescent="0.2">
      <c r="A22">
        <v>42</v>
      </c>
      <c r="B22" t="s">
        <v>18</v>
      </c>
      <c r="C22">
        <f>IFERROR(VLOOKUP(B22,Pricing!$B$2:$C$19,2,0),0)</f>
        <v>15000</v>
      </c>
    </row>
    <row r="23" spans="1:3" x14ac:dyDescent="0.2">
      <c r="A23">
        <v>42</v>
      </c>
      <c r="B23" t="s">
        <v>18</v>
      </c>
      <c r="C23">
        <f>IFERROR(VLOOKUP(B23,Pricing!$B$2:$C$19,2,0),0)</f>
        <v>15000</v>
      </c>
    </row>
    <row r="24" spans="1:3" x14ac:dyDescent="0.2">
      <c r="A24">
        <v>50</v>
      </c>
      <c r="B24" t="s">
        <v>11</v>
      </c>
      <c r="C24">
        <f>IFERROR(VLOOKUP(B24,Pricing!$B$2:$C$19,2,0),0)</f>
        <v>30000</v>
      </c>
    </row>
    <row r="25" spans="1:3" x14ac:dyDescent="0.2">
      <c r="C25">
        <f>IFERROR(VLOOKUP(B25,Pricing!$B$2:$C$19,2,0),0)</f>
        <v>0</v>
      </c>
    </row>
    <row r="26" spans="1:3" x14ac:dyDescent="0.2">
      <c r="C26">
        <f>IFERROR(VLOOKUP(B26,Pricing!$B$2:$C$19,2,0),0)</f>
        <v>0</v>
      </c>
    </row>
    <row r="27" spans="1:3" x14ac:dyDescent="0.2">
      <c r="C27">
        <f>IFERROR(VLOOKUP(B27,Pricing!$B$2:$C$19,2,0),0)</f>
        <v>0</v>
      </c>
    </row>
    <row r="28" spans="1:3" x14ac:dyDescent="0.2">
      <c r="C28">
        <f>IFERROR(VLOOKUP(B28,Pricing!$B$2:$C$19,2,0),0)</f>
        <v>0</v>
      </c>
    </row>
    <row r="29" spans="1:3" x14ac:dyDescent="0.2">
      <c r="C29">
        <f>IFERROR(VLOOKUP(B29,Pricing!$B$2:$C$19,2,0),0)</f>
        <v>0</v>
      </c>
    </row>
    <row r="30" spans="1:3" x14ac:dyDescent="0.2">
      <c r="C30">
        <f>IFERROR(VLOOKUP(B30,Pricing!$B$2:$C$19,2,0),0)</f>
        <v>0</v>
      </c>
    </row>
    <row r="31" spans="1:3" x14ac:dyDescent="0.2">
      <c r="C31">
        <f>IFERROR(VLOOKUP(B31,Pricing!$B$2:$C$19,2,0),0)</f>
        <v>0</v>
      </c>
    </row>
    <row r="32" spans="1:3" x14ac:dyDescent="0.2">
      <c r="C32">
        <f>IFERROR(VLOOKUP(B32,Pricing!$B$2:$C$19,2,0),0)</f>
        <v>0</v>
      </c>
    </row>
    <row r="33" spans="3:3" x14ac:dyDescent="0.2">
      <c r="C33">
        <f>IFERROR(VLOOKUP(B33,Pricing!$B$2:$C$19,2,0),0)</f>
        <v>0</v>
      </c>
    </row>
    <row r="34" spans="3:3" x14ac:dyDescent="0.2">
      <c r="C34">
        <f>IFERROR(VLOOKUP(B34,Pricing!$B$2:$C$19,2,0),0)</f>
        <v>0</v>
      </c>
    </row>
    <row r="35" spans="3:3" x14ac:dyDescent="0.2">
      <c r="C35">
        <f>IFERROR(VLOOKUP(B35,Pricing!$B$2:$C$19,2,0),0)</f>
        <v>0</v>
      </c>
    </row>
    <row r="36" spans="3:3" x14ac:dyDescent="0.2">
      <c r="C36">
        <f>IFERROR(VLOOKUP(B36,Pricing!$B$2:$C$19,2,0),0)</f>
        <v>0</v>
      </c>
    </row>
    <row r="37" spans="3:3" x14ac:dyDescent="0.2">
      <c r="C37">
        <f>IFERROR(VLOOKUP(B37,Pricing!$B$2:$C$19,2,0),0)</f>
        <v>0</v>
      </c>
    </row>
    <row r="38" spans="3:3" x14ac:dyDescent="0.2">
      <c r="C38">
        <f>IFERROR(VLOOKUP(B38,Pricing!$B$2:$C$19,2,0),0)</f>
        <v>0</v>
      </c>
    </row>
    <row r="39" spans="3:3" x14ac:dyDescent="0.2">
      <c r="C39">
        <f>IFERROR(VLOOKUP(B39,Pricing!$B$2:$C$19,2,0),0)</f>
        <v>0</v>
      </c>
    </row>
    <row r="40" spans="3:3" x14ac:dyDescent="0.2">
      <c r="C40">
        <f>IFERROR(VLOOKUP(B40,Pricing!$B$2:$C$19,2,0),0)</f>
        <v>0</v>
      </c>
    </row>
    <row r="41" spans="3:3" x14ac:dyDescent="0.2">
      <c r="C41">
        <f>IFERROR(VLOOKUP(B41,Pricing!$B$2:$C$19,2,0),0)</f>
        <v>0</v>
      </c>
    </row>
    <row r="42" spans="3:3" x14ac:dyDescent="0.2">
      <c r="C42">
        <f>IFERROR(VLOOKUP(B42,Pricing!$B$2:$C$19,2,0),0)</f>
        <v>0</v>
      </c>
    </row>
    <row r="43" spans="3:3" x14ac:dyDescent="0.2">
      <c r="C43">
        <f>IFERROR(VLOOKUP(B43,Pricing!$B$2:$C$19,2,0),0)</f>
        <v>0</v>
      </c>
    </row>
    <row r="44" spans="3:3" x14ac:dyDescent="0.2">
      <c r="C44">
        <f>IFERROR(VLOOKUP(B44,Pricing!$B$2:$C$19,2,0),0)</f>
        <v>0</v>
      </c>
    </row>
    <row r="45" spans="3:3" x14ac:dyDescent="0.2">
      <c r="C45">
        <f>IFERROR(VLOOKUP(B45,Pricing!$B$2:$C$19,2,0),0)</f>
        <v>0</v>
      </c>
    </row>
    <row r="46" spans="3:3" x14ac:dyDescent="0.2">
      <c r="C46">
        <f>IFERROR(VLOOKUP(B46,Pricing!$B$2:$C$19,2,0),0)</f>
        <v>0</v>
      </c>
    </row>
    <row r="47" spans="3:3" x14ac:dyDescent="0.2">
      <c r="C47">
        <f>IFERROR(VLOOKUP(B47,Pricing!$B$2:$C$19,2,0),0)</f>
        <v>0</v>
      </c>
    </row>
    <row r="48" spans="3:3" x14ac:dyDescent="0.2">
      <c r="C48">
        <f>IFERROR(VLOOKUP(B48,Pricing!$B$2:$C$19,2,0),0)</f>
        <v>0</v>
      </c>
    </row>
    <row r="49" spans="3:3" x14ac:dyDescent="0.2">
      <c r="C49">
        <f>IFERROR(VLOOKUP(B49,Pricing!$B$2:$C$19,2,0),0)</f>
        <v>0</v>
      </c>
    </row>
    <row r="50" spans="3:3" x14ac:dyDescent="0.2">
      <c r="C50">
        <f>IFERROR(VLOOKUP(B50,Pricing!$B$2:$C$19,2,0),0)</f>
        <v>0</v>
      </c>
    </row>
    <row r="51" spans="3:3" x14ac:dyDescent="0.2">
      <c r="C51">
        <f>IFERROR(VLOOKUP(B51,Pricing!$B$2:$C$19,2,0),0)</f>
        <v>0</v>
      </c>
    </row>
    <row r="52" spans="3:3" x14ac:dyDescent="0.2">
      <c r="C52">
        <f>IFERROR(VLOOKUP(B52,Pricing!$B$2:$C$19,2,0),0)</f>
        <v>0</v>
      </c>
    </row>
    <row r="53" spans="3:3" x14ac:dyDescent="0.2">
      <c r="C53">
        <f>IFERROR(VLOOKUP(B53,Pricing!$B$2:$C$19,2,0),0)</f>
        <v>0</v>
      </c>
    </row>
    <row r="54" spans="3:3" x14ac:dyDescent="0.2">
      <c r="C54">
        <f>IFERROR(VLOOKUP(B54,Pricing!$B$2:$C$19,2,0),0)</f>
        <v>0</v>
      </c>
    </row>
    <row r="55" spans="3:3" x14ac:dyDescent="0.2">
      <c r="C55">
        <f>IFERROR(VLOOKUP(B55,Pricing!$B$2:$C$19,2,0),0)</f>
        <v>0</v>
      </c>
    </row>
    <row r="56" spans="3:3" x14ac:dyDescent="0.2">
      <c r="C56">
        <f>IFERROR(VLOOKUP(B56,Pricing!$B$2:$C$19,2,0),0)</f>
        <v>0</v>
      </c>
    </row>
    <row r="57" spans="3:3" x14ac:dyDescent="0.2">
      <c r="C57">
        <f>IFERROR(VLOOKUP(B57,Pricing!$B$2:$C$19,2,0),0)</f>
        <v>0</v>
      </c>
    </row>
    <row r="58" spans="3:3" x14ac:dyDescent="0.2">
      <c r="C58">
        <f>IFERROR(VLOOKUP(B58,Pricing!$B$2:$C$19,2,0),0)</f>
        <v>0</v>
      </c>
    </row>
    <row r="59" spans="3:3" x14ac:dyDescent="0.2">
      <c r="C59">
        <f>IFERROR(VLOOKUP(B59,Pricing!$B$2:$C$19,2,0),0)</f>
        <v>0</v>
      </c>
    </row>
    <row r="60" spans="3:3" x14ac:dyDescent="0.2">
      <c r="C60">
        <f>IFERROR(VLOOKUP(B60,Pricing!$B$2:$C$19,2,0),0)</f>
        <v>0</v>
      </c>
    </row>
    <row r="61" spans="3:3" x14ac:dyDescent="0.2">
      <c r="C61">
        <f>IFERROR(VLOOKUP(B61,Pricing!$B$2:$C$19,2,0),0)</f>
        <v>0</v>
      </c>
    </row>
    <row r="62" spans="3:3" x14ac:dyDescent="0.2">
      <c r="C62">
        <f>IFERROR(VLOOKUP(B62,Pricing!$B$2:$C$19,2,0),0)</f>
        <v>0</v>
      </c>
    </row>
    <row r="63" spans="3:3" x14ac:dyDescent="0.2">
      <c r="C63">
        <f>IFERROR(VLOOKUP(B63,Pricing!$B$2:$C$19,2,0),0)</f>
        <v>0</v>
      </c>
    </row>
    <row r="64" spans="3:3" x14ac:dyDescent="0.2">
      <c r="C64">
        <f>IFERROR(VLOOKUP(B64,Pricing!$B$2:$C$19,2,0),0)</f>
        <v>0</v>
      </c>
    </row>
    <row r="65" spans="3:3" x14ac:dyDescent="0.2">
      <c r="C65">
        <f>IFERROR(VLOOKUP(B65,Pricing!$B$2:$C$19,2,0),0)</f>
        <v>0</v>
      </c>
    </row>
    <row r="66" spans="3:3" x14ac:dyDescent="0.2">
      <c r="C66">
        <f>IFERROR(VLOOKUP(B66,Pricing!$B$2:$C$19,2,0),0)</f>
        <v>0</v>
      </c>
    </row>
    <row r="67" spans="3:3" x14ac:dyDescent="0.2">
      <c r="C67">
        <f>IFERROR(VLOOKUP(B67,Pricing!$B$2:$C$19,2,0),0)</f>
        <v>0</v>
      </c>
    </row>
    <row r="68" spans="3:3" x14ac:dyDescent="0.2">
      <c r="C68">
        <f>IFERROR(VLOOKUP(B68,Pricing!$B$2:$C$19,2,0),0)</f>
        <v>0</v>
      </c>
    </row>
    <row r="69" spans="3:3" x14ac:dyDescent="0.2">
      <c r="C69">
        <f>IFERROR(VLOOKUP(B69,Pricing!$B$2:$C$19,2,0),0)</f>
        <v>0</v>
      </c>
    </row>
    <row r="70" spans="3:3" x14ac:dyDescent="0.2">
      <c r="C70">
        <f>IFERROR(VLOOKUP(B70,Pricing!$B$2:$C$19,2,0),0)</f>
        <v>0</v>
      </c>
    </row>
    <row r="71" spans="3:3" x14ac:dyDescent="0.2">
      <c r="C71">
        <f>IFERROR(VLOOKUP(B71,Pricing!$B$2:$C$19,2,0),0)</f>
        <v>0</v>
      </c>
    </row>
    <row r="72" spans="3:3" x14ac:dyDescent="0.2">
      <c r="C72">
        <f>IFERROR(VLOOKUP(B72,Pricing!$B$2:$C$19,2,0),0)</f>
        <v>0</v>
      </c>
    </row>
    <row r="73" spans="3:3" x14ac:dyDescent="0.2">
      <c r="C73">
        <f>IFERROR(VLOOKUP(B73,Pricing!$B$2:$C$19,2,0),0)</f>
        <v>0</v>
      </c>
    </row>
    <row r="74" spans="3:3" x14ac:dyDescent="0.2">
      <c r="C74">
        <f>IFERROR(VLOOKUP(B74,Pricing!$B$2:$C$19,2,0),0)</f>
        <v>0</v>
      </c>
    </row>
    <row r="75" spans="3:3" x14ac:dyDescent="0.2">
      <c r="C75">
        <f>IFERROR(VLOOKUP(B75,Pricing!$B$2:$C$19,2,0),0)</f>
        <v>0</v>
      </c>
    </row>
    <row r="76" spans="3:3" x14ac:dyDescent="0.2">
      <c r="C76">
        <f>IFERROR(VLOOKUP(B76,Pricing!$B$2:$C$19,2,0),0)</f>
        <v>0</v>
      </c>
    </row>
    <row r="77" spans="3:3" x14ac:dyDescent="0.2">
      <c r="C77">
        <f>IFERROR(VLOOKUP(B77,Pricing!$B$2:$C$19,2,0),0)</f>
        <v>0</v>
      </c>
    </row>
    <row r="78" spans="3:3" x14ac:dyDescent="0.2">
      <c r="C78">
        <f>IFERROR(VLOOKUP(B78,Pricing!$B$2:$C$19,2,0),0)</f>
        <v>0</v>
      </c>
    </row>
    <row r="79" spans="3:3" x14ac:dyDescent="0.2">
      <c r="C79">
        <f>IFERROR(VLOOKUP(B79,Pricing!$B$2:$C$19,2,0),0)</f>
        <v>0</v>
      </c>
    </row>
    <row r="80" spans="3:3" x14ac:dyDescent="0.2">
      <c r="C80">
        <f>IFERROR(VLOOKUP(B80,Pricing!$B$2:$C$19,2,0),0)</f>
        <v>0</v>
      </c>
    </row>
    <row r="81" spans="3:3" x14ac:dyDescent="0.2">
      <c r="C81">
        <f>IFERROR(VLOOKUP(B81,Pricing!$B$2:$C$19,2,0),0)</f>
        <v>0</v>
      </c>
    </row>
    <row r="82" spans="3:3" x14ac:dyDescent="0.2">
      <c r="C82">
        <f>IFERROR(VLOOKUP(B82,Pricing!$B$2:$C$19,2,0),0)</f>
        <v>0</v>
      </c>
    </row>
    <row r="83" spans="3:3" x14ac:dyDescent="0.2">
      <c r="C83">
        <f>IFERROR(VLOOKUP(B83,Pricing!$B$2:$C$19,2,0),0)</f>
        <v>0</v>
      </c>
    </row>
    <row r="84" spans="3:3" x14ac:dyDescent="0.2">
      <c r="C84">
        <f>IFERROR(VLOOKUP(B84,Pricing!$B$2:$C$19,2,0),0)</f>
        <v>0</v>
      </c>
    </row>
    <row r="85" spans="3:3" x14ac:dyDescent="0.2">
      <c r="C85">
        <f>IFERROR(VLOOKUP(B85,Pricing!$B$2:$C$19,2,0),0)</f>
        <v>0</v>
      </c>
    </row>
    <row r="86" spans="3:3" x14ac:dyDescent="0.2">
      <c r="C86">
        <f>IFERROR(VLOOKUP(B86,Pricing!$B$2:$C$19,2,0),0)</f>
        <v>0</v>
      </c>
    </row>
    <row r="87" spans="3:3" x14ac:dyDescent="0.2">
      <c r="C87">
        <f>IFERROR(VLOOKUP(B87,Pricing!$B$2:$C$19,2,0),0)</f>
        <v>0</v>
      </c>
    </row>
    <row r="88" spans="3:3" x14ac:dyDescent="0.2">
      <c r="C88">
        <f>IFERROR(VLOOKUP(B88,Pricing!$B$2:$C$19,2,0),0)</f>
        <v>0</v>
      </c>
    </row>
    <row r="89" spans="3:3" x14ac:dyDescent="0.2">
      <c r="C89">
        <f>IFERROR(VLOOKUP(B89,Pricing!$B$2:$C$19,2,0),0)</f>
        <v>0</v>
      </c>
    </row>
    <row r="90" spans="3:3" x14ac:dyDescent="0.2">
      <c r="C90">
        <f>IFERROR(VLOOKUP(B90,Pricing!$B$2:$C$19,2,0),0)</f>
        <v>0</v>
      </c>
    </row>
    <row r="91" spans="3:3" x14ac:dyDescent="0.2">
      <c r="C91">
        <f>IFERROR(VLOOKUP(B91,Pricing!$B$2:$C$19,2,0),0)</f>
        <v>0</v>
      </c>
    </row>
    <row r="92" spans="3:3" x14ac:dyDescent="0.2">
      <c r="C92">
        <f>IFERROR(VLOOKUP(B92,Pricing!$B$2:$C$19,2,0),0)</f>
        <v>0</v>
      </c>
    </row>
    <row r="93" spans="3:3" x14ac:dyDescent="0.2">
      <c r="C93">
        <f>IFERROR(VLOOKUP(B93,Pricing!$B$2:$C$19,2,0),0)</f>
        <v>0</v>
      </c>
    </row>
    <row r="94" spans="3:3" x14ac:dyDescent="0.2">
      <c r="C94">
        <f>IFERROR(VLOOKUP(B94,Pricing!$B$2:$C$19,2,0),0)</f>
        <v>0</v>
      </c>
    </row>
    <row r="95" spans="3:3" x14ac:dyDescent="0.2">
      <c r="C95">
        <f>IFERROR(VLOOKUP(B95,Pricing!$B$2:$C$19,2,0),0)</f>
        <v>0</v>
      </c>
    </row>
    <row r="96" spans="3:3" x14ac:dyDescent="0.2">
      <c r="C96">
        <f>IFERROR(VLOOKUP(B96,Pricing!$B$2:$C$19,2,0),0)</f>
        <v>0</v>
      </c>
    </row>
    <row r="97" spans="3:3" x14ac:dyDescent="0.2">
      <c r="C97">
        <f>IFERROR(VLOOKUP(B97,Pricing!$B$2:$C$19,2,0),0)</f>
        <v>0</v>
      </c>
    </row>
    <row r="98" spans="3:3" x14ac:dyDescent="0.2">
      <c r="C98">
        <f>IFERROR(VLOOKUP(B98,Pricing!$B$2:$C$19,2,0),0)</f>
        <v>0</v>
      </c>
    </row>
    <row r="99" spans="3:3" x14ac:dyDescent="0.2">
      <c r="C99">
        <f>IFERROR(VLOOKUP(B99,Pricing!$B$2:$C$19,2,0),0)</f>
        <v>0</v>
      </c>
    </row>
    <row r="100" spans="3:3" x14ac:dyDescent="0.2">
      <c r="C100">
        <f>IFERROR(VLOOKUP(B100,Pricing!$B$2:$C$19,2,0),0)</f>
        <v>0</v>
      </c>
    </row>
    <row r="101" spans="3:3" x14ac:dyDescent="0.2">
      <c r="C101">
        <f>IFERROR(VLOOKUP(B101,Pricing!$B$2:$C$19,2,0),0)</f>
        <v>0</v>
      </c>
    </row>
    <row r="102" spans="3:3" x14ac:dyDescent="0.2">
      <c r="C102">
        <f>IFERROR(VLOOKUP(B102,Pricing!$B$2:$C$19,2,0),0)</f>
        <v>0</v>
      </c>
    </row>
    <row r="103" spans="3:3" x14ac:dyDescent="0.2">
      <c r="C103">
        <f>IFERROR(VLOOKUP(B103,Pricing!$B$2:$C$19,2,0),0)</f>
        <v>0</v>
      </c>
    </row>
    <row r="104" spans="3:3" x14ac:dyDescent="0.2">
      <c r="C104">
        <f>IFERROR(VLOOKUP(B104,Pricing!$B$2:$C$19,2,0),0)</f>
        <v>0</v>
      </c>
    </row>
    <row r="105" spans="3:3" x14ac:dyDescent="0.2">
      <c r="C105">
        <f>IFERROR(VLOOKUP(B105,Pricing!$B$2:$C$19,2,0),0)</f>
        <v>0</v>
      </c>
    </row>
    <row r="106" spans="3:3" x14ac:dyDescent="0.2">
      <c r="C106">
        <f>IFERROR(VLOOKUP(B106,Pricing!$B$2:$C$19,2,0),0)</f>
        <v>0</v>
      </c>
    </row>
    <row r="107" spans="3:3" x14ac:dyDescent="0.2">
      <c r="C107">
        <f>IFERROR(VLOOKUP(B107,Pricing!$B$2:$C$19,2,0),0)</f>
        <v>0</v>
      </c>
    </row>
    <row r="108" spans="3:3" x14ac:dyDescent="0.2">
      <c r="C108">
        <f>IFERROR(VLOOKUP(B108,Pricing!$B$2:$C$19,2,0),0)</f>
        <v>0</v>
      </c>
    </row>
    <row r="109" spans="3:3" x14ac:dyDescent="0.2">
      <c r="C109">
        <f>IFERROR(VLOOKUP(B109,Pricing!$B$2:$C$19,2,0),0)</f>
        <v>0</v>
      </c>
    </row>
    <row r="110" spans="3:3" x14ac:dyDescent="0.2">
      <c r="C110">
        <f>IFERROR(VLOOKUP(B110,Pricing!$B$2:$C$19,2,0),0)</f>
        <v>0</v>
      </c>
    </row>
    <row r="111" spans="3:3" x14ac:dyDescent="0.2">
      <c r="C111">
        <f>IFERROR(VLOOKUP(B111,Pricing!$B$2:$C$19,2,0),0)</f>
        <v>0</v>
      </c>
    </row>
    <row r="112" spans="3:3" x14ac:dyDescent="0.2">
      <c r="C112">
        <f>IFERROR(VLOOKUP(B112,Pricing!$B$2:$C$19,2,0),0)</f>
        <v>0</v>
      </c>
    </row>
    <row r="113" spans="3:3" x14ac:dyDescent="0.2">
      <c r="C113">
        <f>IFERROR(VLOOKUP(B113,Pricing!$B$2:$C$19,2,0),0)</f>
        <v>0</v>
      </c>
    </row>
    <row r="114" spans="3:3" x14ac:dyDescent="0.2">
      <c r="C114">
        <f>IFERROR(VLOOKUP(B114,Pricing!$B$2:$C$19,2,0),0)</f>
        <v>0</v>
      </c>
    </row>
    <row r="115" spans="3:3" x14ac:dyDescent="0.2">
      <c r="C115">
        <f>IFERROR(VLOOKUP(B115,Pricing!$B$2:$C$19,2,0),0)</f>
        <v>0</v>
      </c>
    </row>
    <row r="116" spans="3:3" x14ac:dyDescent="0.2">
      <c r="C116">
        <f>IFERROR(VLOOKUP(B116,Pricing!$B$2:$C$19,2,0),0)</f>
        <v>0</v>
      </c>
    </row>
    <row r="117" spans="3:3" x14ac:dyDescent="0.2">
      <c r="C117">
        <f>IFERROR(VLOOKUP(B117,Pricing!$B$2:$C$19,2,0),0)</f>
        <v>0</v>
      </c>
    </row>
    <row r="118" spans="3:3" x14ac:dyDescent="0.2">
      <c r="C118">
        <f>IFERROR(VLOOKUP(B118,Pricing!$B$2:$C$19,2,0),0)</f>
        <v>0</v>
      </c>
    </row>
    <row r="119" spans="3:3" x14ac:dyDescent="0.2">
      <c r="C119">
        <f>IFERROR(VLOOKUP(B119,Pricing!$B$2:$C$19,2,0),0)</f>
        <v>0</v>
      </c>
    </row>
    <row r="120" spans="3:3" x14ac:dyDescent="0.2">
      <c r="C120">
        <f>IFERROR(VLOOKUP(B120,Pricing!$B$2:$C$19,2,0),0)</f>
        <v>0</v>
      </c>
    </row>
    <row r="121" spans="3:3" x14ac:dyDescent="0.2">
      <c r="C121">
        <f>IFERROR(VLOOKUP(B121,Pricing!$B$2:$C$19,2,0),0)</f>
        <v>0</v>
      </c>
    </row>
    <row r="122" spans="3:3" x14ac:dyDescent="0.2">
      <c r="C122">
        <f>IFERROR(VLOOKUP(B122,Pricing!$B$2:$C$19,2,0),0)</f>
        <v>0</v>
      </c>
    </row>
    <row r="123" spans="3:3" x14ac:dyDescent="0.2">
      <c r="C123">
        <f>IFERROR(VLOOKUP(B123,Pricing!$B$2:$C$19,2,0),0)</f>
        <v>0</v>
      </c>
    </row>
    <row r="124" spans="3:3" x14ac:dyDescent="0.2">
      <c r="C124">
        <f>IFERROR(VLOOKUP(B124,Pricing!$B$2:$C$19,2,0),0)</f>
        <v>0</v>
      </c>
    </row>
    <row r="125" spans="3:3" x14ac:dyDescent="0.2">
      <c r="C125">
        <f>IFERROR(VLOOKUP(B125,Pricing!$B$2:$C$19,2,0),0)</f>
        <v>0</v>
      </c>
    </row>
    <row r="126" spans="3:3" x14ac:dyDescent="0.2">
      <c r="C126">
        <f>IFERROR(VLOOKUP(B126,Pricing!$B$2:$C$19,2,0),0)</f>
        <v>0</v>
      </c>
    </row>
    <row r="127" spans="3:3" x14ac:dyDescent="0.2">
      <c r="C127">
        <f>IFERROR(VLOOKUP(B127,Pricing!$B$2:$C$19,2,0),0)</f>
        <v>0</v>
      </c>
    </row>
    <row r="128" spans="3:3" x14ac:dyDescent="0.2">
      <c r="C128">
        <f>IFERROR(VLOOKUP(B128,Pricing!$B$2:$C$19,2,0),0)</f>
        <v>0</v>
      </c>
    </row>
    <row r="129" spans="3:3" x14ac:dyDescent="0.2">
      <c r="C129">
        <f>IFERROR(VLOOKUP(B129,Pricing!$B$2:$C$19,2,0),0)</f>
        <v>0</v>
      </c>
    </row>
    <row r="130" spans="3:3" x14ac:dyDescent="0.2">
      <c r="C130">
        <f>IFERROR(VLOOKUP(B130,Pricing!$B$2:$C$19,2,0),0)</f>
        <v>0</v>
      </c>
    </row>
    <row r="131" spans="3:3" x14ac:dyDescent="0.2">
      <c r="C131">
        <f>IFERROR(VLOOKUP(B131,Pricing!$B$2:$C$19,2,0),0)</f>
        <v>0</v>
      </c>
    </row>
    <row r="132" spans="3:3" x14ac:dyDescent="0.2">
      <c r="C132">
        <f>IFERROR(VLOOKUP(B132,Pricing!$B$2:$C$19,2,0),0)</f>
        <v>0</v>
      </c>
    </row>
    <row r="133" spans="3:3" x14ac:dyDescent="0.2">
      <c r="C133">
        <f>IFERROR(VLOOKUP(B133,Pricing!$B$2:$C$19,2,0),0)</f>
        <v>0</v>
      </c>
    </row>
    <row r="134" spans="3:3" x14ac:dyDescent="0.2">
      <c r="C134">
        <f>IFERROR(VLOOKUP(B134,Pricing!$B$2:$C$19,2,0),0)</f>
        <v>0</v>
      </c>
    </row>
    <row r="135" spans="3:3" x14ac:dyDescent="0.2">
      <c r="C135">
        <f>IFERROR(VLOOKUP(B135,Pricing!$B$2:$C$19,2,0),0)</f>
        <v>0</v>
      </c>
    </row>
    <row r="136" spans="3:3" x14ac:dyDescent="0.2">
      <c r="C136">
        <f>IFERROR(VLOOKUP(B136,Pricing!$B$2:$C$19,2,0),0)</f>
        <v>0</v>
      </c>
    </row>
    <row r="137" spans="3:3" x14ac:dyDescent="0.2">
      <c r="C137">
        <f>IFERROR(VLOOKUP(B137,Pricing!$B$2:$C$19,2,0),0)</f>
        <v>0</v>
      </c>
    </row>
    <row r="138" spans="3:3" x14ac:dyDescent="0.2">
      <c r="C138">
        <f>IFERROR(VLOOKUP(B138,Pricing!$B$2:$C$19,2,0),0)</f>
        <v>0</v>
      </c>
    </row>
    <row r="139" spans="3:3" x14ac:dyDescent="0.2">
      <c r="C139">
        <f>IFERROR(VLOOKUP(B139,Pricing!$B$2:$C$19,2,0),0)</f>
        <v>0</v>
      </c>
    </row>
    <row r="140" spans="3:3" x14ac:dyDescent="0.2">
      <c r="C140">
        <f>IFERROR(VLOOKUP(B140,Pricing!$B$2:$C$19,2,0),0)</f>
        <v>0</v>
      </c>
    </row>
    <row r="141" spans="3:3" x14ac:dyDescent="0.2">
      <c r="C141">
        <f>IFERROR(VLOOKUP(B141,Pricing!$B$2:$C$19,2,0),0)</f>
        <v>0</v>
      </c>
    </row>
    <row r="142" spans="3:3" x14ac:dyDescent="0.2">
      <c r="C142">
        <f>IFERROR(VLOOKUP(B142,Pricing!$B$2:$C$19,2,0),0)</f>
        <v>0</v>
      </c>
    </row>
    <row r="143" spans="3:3" x14ac:dyDescent="0.2">
      <c r="C143">
        <f>IFERROR(VLOOKUP(B143,Pricing!$B$2:$C$19,2,0),0)</f>
        <v>0</v>
      </c>
    </row>
    <row r="144" spans="3:3" x14ac:dyDescent="0.2">
      <c r="C144">
        <f>IFERROR(VLOOKUP(B144,Pricing!$B$2:$C$19,2,0),0)</f>
        <v>0</v>
      </c>
    </row>
    <row r="145" spans="3:3" x14ac:dyDescent="0.2">
      <c r="C145">
        <f>IFERROR(VLOOKUP(B145,Pricing!$B$2:$C$19,2,0),0)</f>
        <v>0</v>
      </c>
    </row>
    <row r="146" spans="3:3" x14ac:dyDescent="0.2">
      <c r="C146">
        <f>IFERROR(VLOOKUP(B146,Pricing!$B$2:$C$19,2,0),0)</f>
        <v>0</v>
      </c>
    </row>
    <row r="147" spans="3:3" x14ac:dyDescent="0.2">
      <c r="C147">
        <f>IFERROR(VLOOKUP(B147,Pricing!$B$2:$C$19,2,0),0)</f>
        <v>0</v>
      </c>
    </row>
    <row r="148" spans="3:3" x14ac:dyDescent="0.2">
      <c r="C148">
        <f>IFERROR(VLOOKUP(B148,Pricing!$B$2:$C$19,2,0),0)</f>
        <v>0</v>
      </c>
    </row>
    <row r="149" spans="3:3" x14ac:dyDescent="0.2">
      <c r="C149">
        <f>IFERROR(VLOOKUP(B149,Pricing!$B$2:$C$19,2,0),0)</f>
        <v>0</v>
      </c>
    </row>
    <row r="150" spans="3:3" x14ac:dyDescent="0.2">
      <c r="C150">
        <f>IFERROR(VLOOKUP(B150,Pricing!$B$2:$C$19,2,0),0)</f>
        <v>0</v>
      </c>
    </row>
    <row r="151" spans="3:3" x14ac:dyDescent="0.2">
      <c r="C151">
        <f>IFERROR(VLOOKUP(B151,Pricing!$B$2:$C$19,2,0),0)</f>
        <v>0</v>
      </c>
    </row>
    <row r="152" spans="3:3" x14ac:dyDescent="0.2">
      <c r="C152">
        <f>IFERROR(VLOOKUP(B152,Pricing!$B$2:$C$19,2,0),0)</f>
        <v>0</v>
      </c>
    </row>
    <row r="153" spans="3:3" x14ac:dyDescent="0.2">
      <c r="C153">
        <f>IFERROR(VLOOKUP(B153,Pricing!$B$2:$C$19,2,0),0)</f>
        <v>0</v>
      </c>
    </row>
    <row r="154" spans="3:3" x14ac:dyDescent="0.2">
      <c r="C154">
        <f>IFERROR(VLOOKUP(B154,Pricing!$B$2:$C$19,2,0),0)</f>
        <v>0</v>
      </c>
    </row>
    <row r="155" spans="3:3" x14ac:dyDescent="0.2">
      <c r="C155">
        <f>IFERROR(VLOOKUP(B155,Pricing!$B$2:$C$19,2,0),0)</f>
        <v>0</v>
      </c>
    </row>
    <row r="156" spans="3:3" x14ac:dyDescent="0.2">
      <c r="C156">
        <f>IFERROR(VLOOKUP(B156,Pricing!$B$2:$C$19,2,0),0)</f>
        <v>0</v>
      </c>
    </row>
    <row r="157" spans="3:3" x14ac:dyDescent="0.2">
      <c r="C157">
        <f>IFERROR(VLOOKUP(B157,Pricing!$B$2:$C$19,2,0),0)</f>
        <v>0</v>
      </c>
    </row>
    <row r="158" spans="3:3" x14ac:dyDescent="0.2">
      <c r="C158">
        <f>IFERROR(VLOOKUP(B158,Pricing!$B$2:$C$19,2,0),0)</f>
        <v>0</v>
      </c>
    </row>
    <row r="159" spans="3:3" x14ac:dyDescent="0.2">
      <c r="C159">
        <f>IFERROR(VLOOKUP(B159,Pricing!$B$2:$C$19,2,0),0)</f>
        <v>0</v>
      </c>
    </row>
    <row r="160" spans="3:3" x14ac:dyDescent="0.2">
      <c r="C160">
        <f>IFERROR(VLOOKUP(B160,Pricing!$B$2:$C$19,2,0),0)</f>
        <v>0</v>
      </c>
    </row>
    <row r="161" spans="3:3" x14ac:dyDescent="0.2">
      <c r="C161">
        <f>IFERROR(VLOOKUP(B161,Pricing!$B$2:$C$19,2,0),0)</f>
        <v>0</v>
      </c>
    </row>
    <row r="162" spans="3:3" x14ac:dyDescent="0.2">
      <c r="C162">
        <f>IFERROR(VLOOKUP(B162,Pricing!$B$2:$C$19,2,0),0)</f>
        <v>0</v>
      </c>
    </row>
    <row r="163" spans="3:3" x14ac:dyDescent="0.2">
      <c r="C163">
        <f>IFERROR(VLOOKUP(B163,Pricing!$B$2:$C$19,2,0),0)</f>
        <v>0</v>
      </c>
    </row>
    <row r="164" spans="3:3" x14ac:dyDescent="0.2">
      <c r="C164">
        <f>IFERROR(VLOOKUP(B164,Pricing!$B$2:$C$19,2,0),0)</f>
        <v>0</v>
      </c>
    </row>
    <row r="165" spans="3:3" x14ac:dyDescent="0.2">
      <c r="C165">
        <f>IFERROR(VLOOKUP(B165,Pricing!$B$2:$C$19,2,0),0)</f>
        <v>0</v>
      </c>
    </row>
    <row r="166" spans="3:3" x14ac:dyDescent="0.2">
      <c r="C166">
        <f>IFERROR(VLOOKUP(B166,Pricing!$B$2:$C$19,2,0),0)</f>
        <v>0</v>
      </c>
    </row>
    <row r="167" spans="3:3" x14ac:dyDescent="0.2">
      <c r="C167">
        <f>IFERROR(VLOOKUP(B167,Pricing!$B$2:$C$19,2,0),0)</f>
        <v>0</v>
      </c>
    </row>
    <row r="168" spans="3:3" x14ac:dyDescent="0.2">
      <c r="C168">
        <f>IFERROR(VLOOKUP(B168,Pricing!$B$2:$C$19,2,0),0)</f>
        <v>0</v>
      </c>
    </row>
    <row r="169" spans="3:3" x14ac:dyDescent="0.2">
      <c r="C169">
        <f>IFERROR(VLOOKUP(B169,Pricing!$B$2:$C$19,2,0),0)</f>
        <v>0</v>
      </c>
    </row>
    <row r="170" spans="3:3" x14ac:dyDescent="0.2">
      <c r="C170">
        <f>IFERROR(VLOOKUP(B170,Pricing!$B$2:$C$19,2,0),0)</f>
        <v>0</v>
      </c>
    </row>
    <row r="171" spans="3:3" x14ac:dyDescent="0.2">
      <c r="C171">
        <f>IFERROR(VLOOKUP(B171,Pricing!$B$2:$C$19,2,0),0)</f>
        <v>0</v>
      </c>
    </row>
    <row r="172" spans="3:3" x14ac:dyDescent="0.2">
      <c r="C172">
        <f>IFERROR(VLOOKUP(B172,Pricing!$B$2:$C$19,2,0),0)</f>
        <v>0</v>
      </c>
    </row>
    <row r="173" spans="3:3" x14ac:dyDescent="0.2">
      <c r="C173">
        <f>IFERROR(VLOOKUP(B173,Pricing!$B$2:$C$19,2,0),0)</f>
        <v>0</v>
      </c>
    </row>
    <row r="174" spans="3:3" x14ac:dyDescent="0.2">
      <c r="C174">
        <f>IFERROR(VLOOKUP(B174,Pricing!$B$2:$C$19,2,0),0)</f>
        <v>0</v>
      </c>
    </row>
    <row r="175" spans="3:3" x14ac:dyDescent="0.2">
      <c r="C175">
        <f>IFERROR(VLOOKUP(B175,Pricing!$B$2:$C$19,2,0),0)</f>
        <v>0</v>
      </c>
    </row>
    <row r="176" spans="3:3" x14ac:dyDescent="0.2">
      <c r="C176">
        <f>IFERROR(VLOOKUP(B176,Pricing!$B$2:$C$19,2,0),0)</f>
        <v>0</v>
      </c>
    </row>
    <row r="177" spans="3:3" x14ac:dyDescent="0.2">
      <c r="C177">
        <f>IFERROR(VLOOKUP(B177,Pricing!$B$2:$C$19,2,0),0)</f>
        <v>0</v>
      </c>
    </row>
    <row r="178" spans="3:3" x14ac:dyDescent="0.2">
      <c r="C178">
        <f>IFERROR(VLOOKUP(B178,Pricing!$B$2:$C$19,2,0),0)</f>
        <v>0</v>
      </c>
    </row>
    <row r="179" spans="3:3" x14ac:dyDescent="0.2">
      <c r="C179">
        <f>IFERROR(VLOOKUP(B179,Pricing!$B$2:$C$19,2,0),0)</f>
        <v>0</v>
      </c>
    </row>
    <row r="180" spans="3:3" x14ac:dyDescent="0.2">
      <c r="C180">
        <f>IFERROR(VLOOKUP(B180,Pricing!$B$2:$C$19,2,0),0)</f>
        <v>0</v>
      </c>
    </row>
    <row r="181" spans="3:3" x14ac:dyDescent="0.2">
      <c r="C181">
        <f>IFERROR(VLOOKUP(B181,Pricing!$B$2:$C$19,2,0),0)</f>
        <v>0</v>
      </c>
    </row>
    <row r="182" spans="3:3" x14ac:dyDescent="0.2">
      <c r="C182">
        <f>IFERROR(VLOOKUP(B182,Pricing!$B$2:$C$19,2,0),0)</f>
        <v>0</v>
      </c>
    </row>
    <row r="183" spans="3:3" x14ac:dyDescent="0.2">
      <c r="C183">
        <f>IFERROR(VLOOKUP(B183,Pricing!$B$2:$C$19,2,0),0)</f>
        <v>0</v>
      </c>
    </row>
    <row r="184" spans="3:3" x14ac:dyDescent="0.2">
      <c r="C184">
        <f>IFERROR(VLOOKUP(B184,Pricing!$B$2:$C$19,2,0),0)</f>
        <v>0</v>
      </c>
    </row>
    <row r="185" spans="3:3" x14ac:dyDescent="0.2">
      <c r="C185">
        <f>IFERROR(VLOOKUP(B185,Pricing!$B$2:$C$19,2,0),0)</f>
        <v>0</v>
      </c>
    </row>
    <row r="186" spans="3:3" x14ac:dyDescent="0.2">
      <c r="C186">
        <f>IFERROR(VLOOKUP(B186,Pricing!$B$2:$C$19,2,0),0)</f>
        <v>0</v>
      </c>
    </row>
    <row r="187" spans="3:3" x14ac:dyDescent="0.2">
      <c r="C187">
        <f>IFERROR(VLOOKUP(B187,Pricing!$B$2:$C$19,2,0),0)</f>
        <v>0</v>
      </c>
    </row>
    <row r="188" spans="3:3" x14ac:dyDescent="0.2">
      <c r="C188">
        <f>IFERROR(VLOOKUP(B188,Pricing!$B$2:$C$19,2,0),0)</f>
        <v>0</v>
      </c>
    </row>
    <row r="189" spans="3:3" x14ac:dyDescent="0.2">
      <c r="C189">
        <f>IFERROR(VLOOKUP(B189,Pricing!$B$2:$C$20,2,0),0)</f>
        <v>0</v>
      </c>
    </row>
    <row r="190" spans="3:3" x14ac:dyDescent="0.2">
      <c r="C190">
        <f>IFERROR(VLOOKUP(B190,Pricing!$B$2:$C$19,2,0),0)</f>
        <v>0</v>
      </c>
    </row>
    <row r="191" spans="3:3" x14ac:dyDescent="0.2">
      <c r="C191">
        <f>IFERROR(VLOOKUP(B191,Pricing!$B$2:$C$19,2,0),0)</f>
        <v>0</v>
      </c>
    </row>
    <row r="192" spans="3:3" x14ac:dyDescent="0.2">
      <c r="C192">
        <f>IFERROR(VLOOKUP(B192,Pricing!$B$2:$C$19,2,0),0)</f>
        <v>0</v>
      </c>
    </row>
    <row r="193" spans="3:3" x14ac:dyDescent="0.2">
      <c r="C193">
        <f>IFERROR(VLOOKUP(B193,Pricing!$B$2:$C$19,2,0),0)</f>
        <v>0</v>
      </c>
    </row>
    <row r="194" spans="3:3" x14ac:dyDescent="0.2">
      <c r="C194">
        <f>IFERROR(VLOOKUP(B194,Pricing!$B$2:$C$19,2,0),0)</f>
        <v>0</v>
      </c>
    </row>
    <row r="195" spans="3:3" x14ac:dyDescent="0.2">
      <c r="C195">
        <f>IFERROR(VLOOKUP(B195,Pricing!$B$2:$C$19,2,0),0)</f>
        <v>0</v>
      </c>
    </row>
    <row r="196" spans="3:3" x14ac:dyDescent="0.2">
      <c r="C196">
        <f>IFERROR(VLOOKUP(B196,Pricing!$B$2:$C$19,2,0),0)</f>
        <v>0</v>
      </c>
    </row>
    <row r="197" spans="3:3" x14ac:dyDescent="0.2">
      <c r="C197">
        <f>IFERROR(VLOOKUP(B197,Pricing!$B$2:$C$19,2,0),0)</f>
        <v>0</v>
      </c>
    </row>
    <row r="198" spans="3:3" x14ac:dyDescent="0.2">
      <c r="C198">
        <f>IFERROR(VLOOKUP(B198,Pricing!$B$2:$C$19,2,0),0)</f>
        <v>0</v>
      </c>
    </row>
    <row r="199" spans="3:3" x14ac:dyDescent="0.2">
      <c r="C199">
        <f>IFERROR(VLOOKUP(B199,Pricing!$B$2:$C$19,2,0),0)</f>
        <v>0</v>
      </c>
    </row>
    <row r="200" spans="3:3" x14ac:dyDescent="0.2">
      <c r="C200">
        <f>IFERROR(VLOOKUP(B200,Pricing!$B$2:$C$19,2,0),0)</f>
        <v>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EACA701-C868-1041-9A7E-FAF862120279}">
          <x14:formula1>
            <xm:f>Pricing!$B$11:$B$19</xm:f>
          </x14:formula1>
          <xm:sqref>B2:B200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C9B62-DC60-0F45-A8A8-D357CFD2EC75}">
  <dimension ref="A1:E7"/>
  <sheetViews>
    <sheetView workbookViewId="0">
      <selection activeCell="C8" sqref="C8"/>
    </sheetView>
  </sheetViews>
  <sheetFormatPr baseColWidth="10" defaultRowHeight="16" x14ac:dyDescent="0.2"/>
  <cols>
    <col min="3" max="3" width="11.83203125" bestFit="1" customWidth="1"/>
  </cols>
  <sheetData>
    <row r="1" spans="1:5" x14ac:dyDescent="0.2">
      <c r="A1" t="s">
        <v>23</v>
      </c>
      <c r="B1" t="s">
        <v>1</v>
      </c>
      <c r="C1" t="s">
        <v>24</v>
      </c>
      <c r="D1" t="s">
        <v>25</v>
      </c>
      <c r="E1" t="s">
        <v>26</v>
      </c>
    </row>
    <row r="2" spans="1:5" x14ac:dyDescent="0.2">
      <c r="A2" s="1">
        <v>46228</v>
      </c>
      <c r="B2" t="s">
        <v>27</v>
      </c>
      <c r="C2" t="s">
        <v>37</v>
      </c>
      <c r="D2">
        <v>1706000</v>
      </c>
      <c r="E2" t="s">
        <v>38</v>
      </c>
    </row>
    <row r="3" spans="1:5" x14ac:dyDescent="0.2">
      <c r="A3" s="1">
        <v>46228</v>
      </c>
      <c r="B3" t="s">
        <v>39</v>
      </c>
      <c r="C3" t="s">
        <v>40</v>
      </c>
      <c r="D3">
        <v>102500</v>
      </c>
      <c r="E3" t="s">
        <v>38</v>
      </c>
    </row>
    <row r="4" spans="1:5" x14ac:dyDescent="0.2">
      <c r="A4" s="1">
        <v>46220</v>
      </c>
      <c r="B4" t="s">
        <v>28</v>
      </c>
      <c r="C4" t="s">
        <v>41</v>
      </c>
      <c r="D4">
        <v>203000</v>
      </c>
      <c r="E4" t="s">
        <v>38</v>
      </c>
    </row>
    <row r="5" spans="1:5" x14ac:dyDescent="0.2">
      <c r="A5" s="1">
        <v>46216</v>
      </c>
      <c r="B5" t="s">
        <v>29</v>
      </c>
      <c r="C5" t="s">
        <v>42</v>
      </c>
      <c r="D5">
        <v>316350</v>
      </c>
      <c r="E5" t="s">
        <v>38</v>
      </c>
    </row>
    <row r="6" spans="1:5" x14ac:dyDescent="0.2">
      <c r="A6" s="1">
        <v>46205</v>
      </c>
      <c r="B6" t="s">
        <v>30</v>
      </c>
      <c r="C6" t="s">
        <v>43</v>
      </c>
      <c r="D6">
        <v>259475</v>
      </c>
      <c r="E6" t="s">
        <v>38</v>
      </c>
    </row>
    <row r="7" spans="1:5" x14ac:dyDescent="0.2">
      <c r="A7" s="1">
        <v>46232</v>
      </c>
      <c r="B7" t="s">
        <v>34</v>
      </c>
      <c r="C7" t="s">
        <v>44</v>
      </c>
      <c r="D7">
        <v>223800</v>
      </c>
      <c r="E7" t="s">
        <v>38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E4768FA-E2A0-3B4C-AA7A-D05D00687568}">
          <x14:formula1>
            <xm:f>Category!$A$1:$A$11</xm:f>
          </x14:formula1>
          <xm:sqref>B2:B200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0B0FBF-A1A6-164D-A3D8-6A7977B2447F}">
  <dimension ref="A1:A11"/>
  <sheetViews>
    <sheetView workbookViewId="0">
      <selection activeCell="A11" sqref="A11"/>
    </sheetView>
  </sheetViews>
  <sheetFormatPr baseColWidth="10" defaultRowHeight="16" x14ac:dyDescent="0.2"/>
  <cols>
    <col min="1" max="1" width="15.83203125" bestFit="1" customWidth="1"/>
  </cols>
  <sheetData>
    <row r="1" spans="1:1" x14ac:dyDescent="0.2">
      <c r="A1" t="s">
        <v>27</v>
      </c>
    </row>
    <row r="2" spans="1:1" x14ac:dyDescent="0.2">
      <c r="A2" t="s">
        <v>39</v>
      </c>
    </row>
    <row r="3" spans="1:1" x14ac:dyDescent="0.2">
      <c r="A3" t="s">
        <v>36</v>
      </c>
    </row>
    <row r="4" spans="1:1" x14ac:dyDescent="0.2">
      <c r="A4" t="s">
        <v>28</v>
      </c>
    </row>
    <row r="5" spans="1:1" x14ac:dyDescent="0.2">
      <c r="A5" t="s">
        <v>29</v>
      </c>
    </row>
    <row r="6" spans="1:1" x14ac:dyDescent="0.2">
      <c r="A6" t="s">
        <v>30</v>
      </c>
    </row>
    <row r="7" spans="1:1" x14ac:dyDescent="0.2">
      <c r="A7" t="s">
        <v>31</v>
      </c>
    </row>
    <row r="8" spans="1:1" x14ac:dyDescent="0.2">
      <c r="A8" t="s">
        <v>32</v>
      </c>
    </row>
    <row r="9" spans="1:1" x14ac:dyDescent="0.2">
      <c r="A9" t="s">
        <v>33</v>
      </c>
    </row>
    <row r="10" spans="1:1" x14ac:dyDescent="0.2">
      <c r="A10" t="s">
        <v>34</v>
      </c>
    </row>
    <row r="11" spans="1:1" x14ac:dyDescent="0.2">
      <c r="A11" t="s">
        <v>35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26237-7494-CF48-BC91-8B6CF31EA217}">
  <dimension ref="A1:D2"/>
  <sheetViews>
    <sheetView workbookViewId="0">
      <selection activeCell="A3" sqref="A3"/>
    </sheetView>
  </sheetViews>
  <sheetFormatPr baseColWidth="10" defaultRowHeight="16" x14ac:dyDescent="0.2"/>
  <cols>
    <col min="1" max="1" width="21.83203125" bestFit="1" customWidth="1"/>
    <col min="2" max="2" width="21.5" bestFit="1" customWidth="1"/>
    <col min="3" max="3" width="10.5" bestFit="1" customWidth="1"/>
    <col min="4" max="4" width="10.1640625" bestFit="1" customWidth="1"/>
  </cols>
  <sheetData>
    <row r="1" spans="1:4" x14ac:dyDescent="0.2">
      <c r="A1" t="s">
        <v>50</v>
      </c>
    </row>
    <row r="2" spans="1:4" x14ac:dyDescent="0.2">
      <c r="A2" t="s">
        <v>52</v>
      </c>
      <c r="B2" t="s">
        <v>51</v>
      </c>
      <c r="C2" t="s">
        <v>53</v>
      </c>
      <c r="D2" t="s">
        <v>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Pricing</vt:lpstr>
      <vt:lpstr>Order</vt:lpstr>
      <vt:lpstr>Order Detail</vt:lpstr>
      <vt:lpstr>Expense</vt:lpstr>
      <vt:lpstr>Category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metodius waruwu</dc:creator>
  <cp:lastModifiedBy>metodius waruwu</cp:lastModifiedBy>
  <dcterms:created xsi:type="dcterms:W3CDTF">2026-08-17T05:21:08Z</dcterms:created>
  <dcterms:modified xsi:type="dcterms:W3CDTF">2026-08-17T13:30:38Z</dcterms:modified>
</cp:coreProperties>
</file>