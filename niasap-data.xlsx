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todiuswaruwu/Documents/Project AI/AI-Portofolio/"/>
    </mc:Choice>
  </mc:AlternateContent>
  <xr:revisionPtr revIDLastSave="0" documentId="13_ncr:1_{DD6A948D-89A6-0640-ADFC-9E21DF10998B}" xr6:coauthVersionLast="47" xr6:coauthVersionMax="47" xr10:uidLastSave="{00000000-0000-0000-0000-000000000000}"/>
  <bookViews>
    <workbookView xWindow="17160" yWindow="720" windowWidth="12220" windowHeight="17160" firstSheet="2" activeTab="6" xr2:uid="{9BF11571-3D57-C340-BE5B-8CD2BEA4A557}"/>
  </bookViews>
  <sheets>
    <sheet name="Sales" sheetId="1" r:id="rId1"/>
    <sheet name="Expense" sheetId="2" r:id="rId2"/>
    <sheet name="Fix Cost" sheetId="3" r:id="rId3"/>
    <sheet name="Category" sheetId="4" r:id="rId4"/>
    <sheet name="Dashboard" sheetId="5" r:id="rId5"/>
    <sheet name="LabaRugi" sheetId="6" r:id="rId6"/>
    <sheet name="BreakEven" sheetId="7" r:id="rId7"/>
    <sheet name="Sheet4" sheetId="8" r:id="rId8"/>
  </sheets>
  <definedNames>
    <definedName name="_xlchart.v2.0" hidden="1">Sales!$A$2:$A$8</definedName>
    <definedName name="_xlchart.v2.1" hidden="1">Sales!$F$2:$F$8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7" l="1"/>
  <c r="C9" i="7"/>
  <c r="C8" i="7"/>
  <c r="B10" i="7"/>
  <c r="B9" i="7"/>
  <c r="B8" i="7"/>
  <c r="B5" i="7"/>
  <c r="B4" i="7"/>
  <c r="B2" i="7"/>
  <c r="B1" i="7"/>
  <c r="B11" i="6" l="1"/>
  <c r="C3" i="5"/>
  <c r="B24" i="6"/>
  <c r="B23" i="6"/>
  <c r="B22" i="6"/>
  <c r="B27" i="6"/>
  <c r="B26" i="6"/>
  <c r="B25" i="6"/>
  <c r="B21" i="6"/>
  <c r="B20" i="6"/>
  <c r="B19" i="6"/>
  <c r="B18" i="6"/>
  <c r="I23" i="5"/>
  <c r="I22" i="5"/>
  <c r="I21" i="5"/>
  <c r="I24" i="5"/>
  <c r="B10" i="6"/>
  <c r="B9" i="6"/>
  <c r="B8" i="6"/>
  <c r="B4" i="6"/>
  <c r="B3" i="6"/>
  <c r="B2" i="6"/>
  <c r="I25" i="5"/>
  <c r="I26" i="5"/>
  <c r="I27" i="5"/>
  <c r="I28" i="5"/>
  <c r="I29" i="5"/>
  <c r="I30" i="5"/>
  <c r="I31" i="5"/>
  <c r="I32" i="5"/>
  <c r="I33" i="5"/>
  <c r="I34" i="5"/>
  <c r="I35" i="5"/>
  <c r="D8" i="5"/>
  <c r="C8" i="5"/>
  <c r="B8" i="5"/>
  <c r="B7" i="5"/>
  <c r="D7" i="5"/>
  <c r="C7" i="5"/>
  <c r="F3" i="5"/>
  <c r="B3" i="5"/>
  <c r="C3" i="3"/>
  <c r="B12" i="6" l="1"/>
  <c r="B28" i="6"/>
  <c r="B5" i="6"/>
  <c r="B14" i="6" s="1"/>
  <c r="B15" i="6" s="1"/>
  <c r="D3" i="5"/>
  <c r="E3" i="5" s="1"/>
  <c r="B30" i="6" l="1"/>
  <c r="B31" i="6" s="1"/>
</calcChain>
</file>

<file path=xl/sharedStrings.xml><?xml version="1.0" encoding="utf-8"?>
<sst xmlns="http://schemas.openxmlformats.org/spreadsheetml/2006/main" count="162" uniqueCount="81">
  <si>
    <t>Tanggal</t>
  </si>
  <si>
    <t>Tunai (IDR)</t>
  </si>
  <si>
    <t>QRIS (IDR)</t>
  </si>
  <si>
    <t>Transfer (IDR)</t>
  </si>
  <si>
    <t>Habis Terjual? (Y/N)</t>
  </si>
  <si>
    <t>Sisa/Waste (IDR)</t>
  </si>
  <si>
    <t>Note</t>
  </si>
  <si>
    <t>Y</t>
  </si>
  <si>
    <t>Kategori</t>
  </si>
  <si>
    <t>Deskripsi</t>
  </si>
  <si>
    <t>Jumlah (IDR)</t>
  </si>
  <si>
    <t>Metode</t>
  </si>
  <si>
    <t>Bahan Baku</t>
  </si>
  <si>
    <t>Sewa</t>
  </si>
  <si>
    <t>Listrik</t>
  </si>
  <si>
    <t>Internet</t>
  </si>
  <si>
    <t>Aplikasi</t>
  </si>
  <si>
    <t>Gaji per staf</t>
  </si>
  <si>
    <t>Item</t>
  </si>
  <si>
    <t>Bpjs Ketenagakerjaan</t>
  </si>
  <si>
    <t>Bpjs Kesehatan</t>
  </si>
  <si>
    <t>Admin bank</t>
  </si>
  <si>
    <t>Operasional Asset</t>
  </si>
  <si>
    <t>Operasional Lain</t>
  </si>
  <si>
    <t>Renovasi</t>
  </si>
  <si>
    <t>Tunai</t>
  </si>
  <si>
    <t>Beras 20 kg, Pasar Gunungsitoli</t>
  </si>
  <si>
    <t>Gula 5 kg, Pasar Gunungsitoli</t>
  </si>
  <si>
    <t>Bahan Minum</t>
  </si>
  <si>
    <t>Bahan Masak</t>
  </si>
  <si>
    <t>Jeruk 4 kg, Pasar Gunungsitoli</t>
  </si>
  <si>
    <t>Teh 2 Kotak, Pasar Gunungsitoli</t>
  </si>
  <si>
    <t>Gas 5 kg</t>
  </si>
  <si>
    <t>Bumbu Dapur paket</t>
  </si>
  <si>
    <t>Air 10 galon</t>
  </si>
  <si>
    <t>Kayu bakar</t>
  </si>
  <si>
    <t>Sayur mayur</t>
  </si>
  <si>
    <t>Qris</t>
  </si>
  <si>
    <t>Transfer</t>
  </si>
  <si>
    <t>babi 50 kg, Pasar Gunungsitoli</t>
  </si>
  <si>
    <t>N</t>
  </si>
  <si>
    <t>Hari senin minggu pertama PNS Gajian</t>
  </si>
  <si>
    <t>Hari kedua minggu pertama PNS Gajian</t>
  </si>
  <si>
    <t>Weekend hari keluarga</t>
  </si>
  <si>
    <t>Mahasiswa dan paket murah banyak laku</t>
  </si>
  <si>
    <t>Jam makan siang hujan</t>
  </si>
  <si>
    <t>Mendung dan hujan</t>
  </si>
  <si>
    <t>Date</t>
  </si>
  <si>
    <t>KPI</t>
  </si>
  <si>
    <t>Total Pendapatan</t>
  </si>
  <si>
    <t>Total Pengeluaran</t>
  </si>
  <si>
    <t>Laba / Rugi</t>
  </si>
  <si>
    <t>Margin %</t>
  </si>
  <si>
    <t>Total Waste</t>
  </si>
  <si>
    <t>Payment Method Split</t>
  </si>
  <si>
    <t>QRIS</t>
  </si>
  <si>
    <t>Grafik Pendapatan Harian</t>
  </si>
  <si>
    <t>Breakdown Pengeluaran per Kategori</t>
  </si>
  <si>
    <t>Tren Waste</t>
  </si>
  <si>
    <t>HPP (Harga Pokok Penjualan)</t>
  </si>
  <si>
    <t>Pendapatan</t>
  </si>
  <si>
    <t>Gas</t>
  </si>
  <si>
    <t>Kemasaan</t>
  </si>
  <si>
    <t>Total HPP</t>
  </si>
  <si>
    <t>Laba Kotor</t>
  </si>
  <si>
    <t>Margin Kotor %</t>
  </si>
  <si>
    <t>Total Biaya Operasional</t>
  </si>
  <si>
    <t>Laba Bersih</t>
  </si>
  <si>
    <t>Margin Bersih %</t>
  </si>
  <si>
    <t>Bahan masak</t>
  </si>
  <si>
    <t>Bahan Bungkus</t>
  </si>
  <si>
    <t>Kertas Nasi</t>
  </si>
  <si>
    <t>Total Biaya Operasional (Fixed)</t>
  </si>
  <si>
    <t>Pendapatan Break-Even (bulanan)</t>
  </si>
  <si>
    <t>Pendapatan Break-Even (Harian)</t>
  </si>
  <si>
    <t>Scenario</t>
  </si>
  <si>
    <t>Monthly Revenue</t>
  </si>
  <si>
    <t>Sepi (Quite)</t>
  </si>
  <si>
    <t>Normal</t>
  </si>
  <si>
    <t>Ramai (Strong)</t>
  </si>
  <si>
    <t>Biaya Operasional (Fix Cost)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</si>
</sst>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9" fontId="0" fillId="0" borderId="0" xfId="1" applyFont="1"/>
    <xf numFmtId="41" fontId="0" fillId="0" borderId="0" xfId="0" applyNumberFormat="1"/>
    <xf numFmtId="0" fontId="3" fillId="0" borderId="0" xfId="0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Sales!$A$2:$A$8</c:f>
              <c:numCache>
                <c:formatCode>m/d/yy</c:formatCode>
                <c:ptCount val="7"/>
                <c:pt idx="0">
                  <c:v>46328</c:v>
                </c:pt>
                <c:pt idx="1">
                  <c:v>46329</c:v>
                </c:pt>
                <c:pt idx="2">
                  <c:v>46330</c:v>
                </c:pt>
                <c:pt idx="3">
                  <c:v>46331</c:v>
                </c:pt>
                <c:pt idx="4">
                  <c:v>46332</c:v>
                </c:pt>
                <c:pt idx="5">
                  <c:v>46333</c:v>
                </c:pt>
                <c:pt idx="6">
                  <c:v>46334</c:v>
                </c:pt>
              </c:numCache>
            </c:numRef>
          </c:cat>
          <c:val>
            <c:numRef>
              <c:f>Sales!$B$2:$B$8</c:f>
              <c:numCache>
                <c:formatCode>General</c:formatCode>
                <c:ptCount val="7"/>
                <c:pt idx="0">
                  <c:v>1200000</c:v>
                </c:pt>
                <c:pt idx="1">
                  <c:v>500000</c:v>
                </c:pt>
                <c:pt idx="2">
                  <c:v>1200000</c:v>
                </c:pt>
                <c:pt idx="3">
                  <c:v>750000</c:v>
                </c:pt>
                <c:pt idx="4">
                  <c:v>600000</c:v>
                </c:pt>
                <c:pt idx="5">
                  <c:v>500000</c:v>
                </c:pt>
                <c:pt idx="6">
                  <c:v>1200000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A-5049-84F3-89B292C7DAC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Sales!$A$2:$A$8</c:f>
              <c:numCache>
                <c:formatCode>m/d/yy</c:formatCode>
                <c:ptCount val="7"/>
                <c:pt idx="0">
                  <c:v>46328</c:v>
                </c:pt>
                <c:pt idx="1">
                  <c:v>46329</c:v>
                </c:pt>
                <c:pt idx="2">
                  <c:v>46330</c:v>
                </c:pt>
                <c:pt idx="3">
                  <c:v>46331</c:v>
                </c:pt>
                <c:pt idx="4">
                  <c:v>46332</c:v>
                </c:pt>
                <c:pt idx="5">
                  <c:v>46333</c:v>
                </c:pt>
                <c:pt idx="6">
                  <c:v>46334</c:v>
                </c:pt>
              </c:numCache>
            </c:numRef>
          </c:cat>
          <c:val>
            <c:numRef>
              <c:f>Sales!$C$2:$C$8</c:f>
              <c:numCache>
                <c:formatCode>General</c:formatCode>
                <c:ptCount val="7"/>
                <c:pt idx="0">
                  <c:v>250000</c:v>
                </c:pt>
                <c:pt idx="1">
                  <c:v>1200000</c:v>
                </c:pt>
                <c:pt idx="2">
                  <c:v>120000</c:v>
                </c:pt>
                <c:pt idx="3">
                  <c:v>800000</c:v>
                </c:pt>
                <c:pt idx="4">
                  <c:v>700000</c:v>
                </c:pt>
                <c:pt idx="5">
                  <c:v>1300000</c:v>
                </c:pt>
                <c:pt idx="6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6A-5049-84F3-89B292C7DAC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Sales!$A$2:$A$8</c:f>
              <c:numCache>
                <c:formatCode>m/d/yy</c:formatCode>
                <c:ptCount val="7"/>
                <c:pt idx="0">
                  <c:v>46328</c:v>
                </c:pt>
                <c:pt idx="1">
                  <c:v>46329</c:v>
                </c:pt>
                <c:pt idx="2">
                  <c:v>46330</c:v>
                </c:pt>
                <c:pt idx="3">
                  <c:v>46331</c:v>
                </c:pt>
                <c:pt idx="4">
                  <c:v>46332</c:v>
                </c:pt>
                <c:pt idx="5">
                  <c:v>46333</c:v>
                </c:pt>
                <c:pt idx="6">
                  <c:v>46334</c:v>
                </c:pt>
              </c:numCache>
            </c:numRef>
          </c:cat>
          <c:val>
            <c:numRef>
              <c:f>Sales!$D$2:$D$8</c:f>
              <c:numCache>
                <c:formatCode>General</c:formatCode>
                <c:ptCount val="7"/>
                <c:pt idx="0">
                  <c:v>550000</c:v>
                </c:pt>
                <c:pt idx="1">
                  <c:v>250000</c:v>
                </c:pt>
                <c:pt idx="2">
                  <c:v>600000</c:v>
                </c:pt>
                <c:pt idx="3">
                  <c:v>250000</c:v>
                </c:pt>
                <c:pt idx="4">
                  <c:v>250000</c:v>
                </c:pt>
                <c:pt idx="5">
                  <c:v>200000</c:v>
                </c:pt>
                <c:pt idx="6">
                  <c:v>550000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6A-5049-84F3-89B292C7D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384192"/>
        <c:axId val="1391876672"/>
      </c:areaChart>
      <c:dateAx>
        <c:axId val="131238419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876672"/>
        <c:crosses val="autoZero"/>
        <c:auto val="1"/>
        <c:lblOffset val="100"/>
        <c:baseTimeUnit val="days"/>
      </c:dateAx>
      <c:valAx>
        <c:axId val="139187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38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Expanse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Dashboard!$H$21:$H$24</c:f>
              <c:strCache>
                <c:ptCount val="4"/>
                <c:pt idx="0">
                  <c:v>Bahan Minum</c:v>
                </c:pt>
                <c:pt idx="1">
                  <c:v>Bahan Masak</c:v>
                </c:pt>
                <c:pt idx="2">
                  <c:v>Bahan Baku</c:v>
                </c:pt>
                <c:pt idx="3">
                  <c:v>Bahan Bungkus</c:v>
                </c:pt>
              </c:strCache>
            </c:strRef>
          </c:cat>
          <c:val>
            <c:numRef>
              <c:f>Dashboard!$I$21:$I$24</c:f>
              <c:numCache>
                <c:formatCode>General</c:formatCode>
                <c:ptCount val="4"/>
                <c:pt idx="0">
                  <c:v>355000</c:v>
                </c:pt>
                <c:pt idx="1">
                  <c:v>70000</c:v>
                </c:pt>
                <c:pt idx="2">
                  <c:v>6050000</c:v>
                </c:pt>
                <c:pt idx="3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6-4E46-A285-864C8CC02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Waste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Sales!$A$2:$A$8</c:f>
              <c:numCache>
                <c:formatCode>m/d/yy</c:formatCode>
                <c:ptCount val="7"/>
                <c:pt idx="0">
                  <c:v>46328</c:v>
                </c:pt>
                <c:pt idx="1">
                  <c:v>46329</c:v>
                </c:pt>
                <c:pt idx="2">
                  <c:v>46330</c:v>
                </c:pt>
                <c:pt idx="3">
                  <c:v>46331</c:v>
                </c:pt>
                <c:pt idx="4">
                  <c:v>46332</c:v>
                </c:pt>
                <c:pt idx="5">
                  <c:v>46333</c:v>
                </c:pt>
                <c:pt idx="6">
                  <c:v>46334</c:v>
                </c:pt>
              </c:numCache>
            </c:numRef>
          </c:cat>
          <c:val>
            <c:numRef>
              <c:f>Sales!$F$2:$F$8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20000</c:v>
                </c:pt>
                <c:pt idx="3">
                  <c:v>200000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F9-944A-BDAC-F100023B0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9997888"/>
        <c:axId val="1389986240"/>
      </c:lineChart>
      <c:dateAx>
        <c:axId val="138999788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986240"/>
        <c:crosses val="autoZero"/>
        <c:auto val="1"/>
        <c:lblOffset val="100"/>
        <c:baseTimeUnit val="days"/>
      </c:dateAx>
      <c:valAx>
        <c:axId val="13899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99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10</xdr:row>
      <xdr:rowOff>63500</xdr:rowOff>
    </xdr:from>
    <xdr:to>
      <xdr:col>1</xdr:col>
      <xdr:colOff>812800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800911-18C7-DF4D-A07E-2FC8A27B2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63500</xdr:colOff>
      <xdr:row>20</xdr:row>
      <xdr:rowOff>63500</xdr:rowOff>
    </xdr:from>
    <xdr:to>
      <xdr:col>2</xdr:col>
      <xdr:colOff>203200</xdr:colOff>
      <xdr:row>28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66CDED-D31B-0FDC-9488-44B62B274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88900</xdr:colOff>
      <xdr:row>30</xdr:row>
      <xdr:rowOff>114300</xdr:rowOff>
    </xdr:from>
    <xdr:to>
      <xdr:col>2</xdr:col>
      <xdr:colOff>266700</xdr:colOff>
      <xdr:row>39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78BD48-D418-7D4B-BD62-208150660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2659-175E-4540-A502-3A88DE202416}">
  <dimension ref="A1:G8"/>
  <sheetViews>
    <sheetView workbookViewId="0">
      <selection activeCell="B2" sqref="B2"/>
    </sheetView>
  </sheetViews>
  <sheetFormatPr baseColWidth="10" defaultRowHeight="16" x14ac:dyDescent="0.2"/>
  <cols>
    <col min="1" max="1" width="8.5" bestFit="1" customWidth="1"/>
    <col min="2" max="2" width="10.1640625" bestFit="1" customWidth="1"/>
    <col min="4" max="4" width="12.33203125" bestFit="1" customWidth="1"/>
    <col min="5" max="5" width="17.33203125" bestFit="1" customWidth="1"/>
    <col min="7" max="7" width="29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46328</v>
      </c>
      <c r="B2">
        <v>1200000</v>
      </c>
      <c r="C2">
        <v>250000</v>
      </c>
      <c r="D2">
        <v>550000</v>
      </c>
      <c r="E2" t="s">
        <v>7</v>
      </c>
      <c r="F2">
        <v>0</v>
      </c>
      <c r="G2" t="s">
        <v>41</v>
      </c>
    </row>
    <row r="3" spans="1:7" x14ac:dyDescent="0.2">
      <c r="A3" s="1">
        <v>46329</v>
      </c>
      <c r="B3">
        <v>500000</v>
      </c>
      <c r="C3">
        <v>1200000</v>
      </c>
      <c r="D3">
        <v>250000</v>
      </c>
      <c r="E3" t="s">
        <v>7</v>
      </c>
      <c r="F3">
        <v>0</v>
      </c>
      <c r="G3" t="s">
        <v>42</v>
      </c>
    </row>
    <row r="4" spans="1:7" x14ac:dyDescent="0.2">
      <c r="A4" s="1">
        <v>46330</v>
      </c>
      <c r="B4">
        <v>1200000</v>
      </c>
      <c r="C4">
        <v>120000</v>
      </c>
      <c r="D4">
        <v>600000</v>
      </c>
      <c r="E4" t="s">
        <v>40</v>
      </c>
      <c r="F4">
        <v>20000</v>
      </c>
      <c r="G4" t="s">
        <v>46</v>
      </c>
    </row>
    <row r="5" spans="1:7" x14ac:dyDescent="0.2">
      <c r="A5" s="1">
        <v>46331</v>
      </c>
      <c r="B5">
        <v>750000</v>
      </c>
      <c r="C5">
        <v>800000</v>
      </c>
      <c r="D5">
        <v>250000</v>
      </c>
      <c r="E5" t="s">
        <v>40</v>
      </c>
      <c r="F5">
        <v>200000</v>
      </c>
      <c r="G5" t="s">
        <v>45</v>
      </c>
    </row>
    <row r="6" spans="1:7" x14ac:dyDescent="0.2">
      <c r="A6" s="1">
        <v>46332</v>
      </c>
      <c r="B6">
        <v>600000</v>
      </c>
      <c r="C6">
        <v>700000</v>
      </c>
      <c r="D6">
        <v>250000</v>
      </c>
      <c r="E6" t="s">
        <v>7</v>
      </c>
      <c r="F6">
        <v>0</v>
      </c>
      <c r="G6" t="s">
        <v>44</v>
      </c>
    </row>
    <row r="7" spans="1:7" x14ac:dyDescent="0.2">
      <c r="A7" s="1">
        <v>46333</v>
      </c>
      <c r="B7">
        <v>500000</v>
      </c>
      <c r="C7">
        <v>1300000</v>
      </c>
      <c r="D7">
        <v>200000</v>
      </c>
      <c r="E7" t="s">
        <v>7</v>
      </c>
      <c r="F7">
        <v>0</v>
      </c>
      <c r="G7" t="s">
        <v>43</v>
      </c>
    </row>
    <row r="8" spans="1:7" x14ac:dyDescent="0.2">
      <c r="A8" s="1">
        <v>46334</v>
      </c>
      <c r="B8">
        <v>1200000</v>
      </c>
      <c r="C8">
        <v>250000</v>
      </c>
      <c r="D8">
        <v>550000</v>
      </c>
      <c r="E8" t="s">
        <v>7</v>
      </c>
      <c r="F8">
        <v>0</v>
      </c>
      <c r="G8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813CC-4999-A642-BE3F-F98151738BFA}">
  <dimension ref="A1:E16"/>
  <sheetViews>
    <sheetView workbookViewId="0">
      <selection activeCell="D26" sqref="D26"/>
    </sheetView>
  </sheetViews>
  <sheetFormatPr baseColWidth="10" defaultRowHeight="16" x14ac:dyDescent="0.2"/>
  <cols>
    <col min="1" max="1" width="11.5" bestFit="1" customWidth="1"/>
    <col min="2" max="2" width="14.6640625" bestFit="1" customWidth="1"/>
    <col min="3" max="3" width="31.5" customWidth="1"/>
  </cols>
  <sheetData>
    <row r="1" spans="1:5" x14ac:dyDescent="0.2">
      <c r="A1" t="s">
        <v>0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">
      <c r="A2" s="1">
        <v>46326</v>
      </c>
      <c r="B2" t="s">
        <v>12</v>
      </c>
      <c r="C2" t="s">
        <v>39</v>
      </c>
      <c r="D2">
        <v>5000000</v>
      </c>
      <c r="E2" t="s">
        <v>25</v>
      </c>
    </row>
    <row r="3" spans="1:5" x14ac:dyDescent="0.2">
      <c r="A3" s="1">
        <v>46326</v>
      </c>
      <c r="B3" t="s">
        <v>12</v>
      </c>
      <c r="C3" t="s">
        <v>26</v>
      </c>
      <c r="D3">
        <v>450000</v>
      </c>
      <c r="E3" t="s">
        <v>25</v>
      </c>
    </row>
    <row r="4" spans="1:5" x14ac:dyDescent="0.2">
      <c r="A4" s="1">
        <v>46326</v>
      </c>
      <c r="B4" t="s">
        <v>28</v>
      </c>
      <c r="C4" t="s">
        <v>27</v>
      </c>
      <c r="D4">
        <v>100000</v>
      </c>
      <c r="E4" t="s">
        <v>25</v>
      </c>
    </row>
    <row r="5" spans="1:5" x14ac:dyDescent="0.2">
      <c r="A5" s="1">
        <v>46326</v>
      </c>
      <c r="B5" t="s">
        <v>28</v>
      </c>
      <c r="C5" t="s">
        <v>31</v>
      </c>
      <c r="D5">
        <v>25000</v>
      </c>
      <c r="E5" t="s">
        <v>37</v>
      </c>
    </row>
    <row r="6" spans="1:5" x14ac:dyDescent="0.2">
      <c r="A6" s="1">
        <v>46326</v>
      </c>
      <c r="B6" t="s">
        <v>28</v>
      </c>
      <c r="C6" t="s">
        <v>30</v>
      </c>
      <c r="D6">
        <v>80000</v>
      </c>
      <c r="E6" t="s">
        <v>38</v>
      </c>
    </row>
    <row r="7" spans="1:5" x14ac:dyDescent="0.2">
      <c r="A7" s="1">
        <v>46326</v>
      </c>
      <c r="B7" t="s">
        <v>69</v>
      </c>
      <c r="C7" t="s">
        <v>32</v>
      </c>
      <c r="D7">
        <v>20000</v>
      </c>
      <c r="E7" t="s">
        <v>37</v>
      </c>
    </row>
    <row r="8" spans="1:5" x14ac:dyDescent="0.2">
      <c r="A8" s="1">
        <v>46326</v>
      </c>
      <c r="B8" t="s">
        <v>12</v>
      </c>
      <c r="C8" t="s">
        <v>33</v>
      </c>
      <c r="D8">
        <v>250000</v>
      </c>
      <c r="E8" t="s">
        <v>25</v>
      </c>
    </row>
    <row r="9" spans="1:5" x14ac:dyDescent="0.2">
      <c r="A9" s="1">
        <v>46326</v>
      </c>
      <c r="B9" t="s">
        <v>28</v>
      </c>
      <c r="C9" t="s">
        <v>34</v>
      </c>
      <c r="D9">
        <v>50000</v>
      </c>
      <c r="E9" t="s">
        <v>38</v>
      </c>
    </row>
    <row r="10" spans="1:5" x14ac:dyDescent="0.2">
      <c r="A10" s="1">
        <v>46326</v>
      </c>
      <c r="B10" t="s">
        <v>29</v>
      </c>
      <c r="C10" t="s">
        <v>35</v>
      </c>
      <c r="D10">
        <v>50000</v>
      </c>
      <c r="E10" t="s">
        <v>25</v>
      </c>
    </row>
    <row r="11" spans="1:5" x14ac:dyDescent="0.2">
      <c r="A11" s="1">
        <v>46326</v>
      </c>
      <c r="B11" t="s">
        <v>12</v>
      </c>
      <c r="C11" t="s">
        <v>36</v>
      </c>
      <c r="D11">
        <v>100000</v>
      </c>
      <c r="E11" t="s">
        <v>25</v>
      </c>
    </row>
    <row r="12" spans="1:5" x14ac:dyDescent="0.2">
      <c r="A12" s="1">
        <v>46327</v>
      </c>
      <c r="B12" t="s">
        <v>12</v>
      </c>
      <c r="C12" t="s">
        <v>33</v>
      </c>
      <c r="D12">
        <v>250000</v>
      </c>
      <c r="E12" t="s">
        <v>25</v>
      </c>
    </row>
    <row r="13" spans="1:5" x14ac:dyDescent="0.2">
      <c r="A13" s="1">
        <v>46327</v>
      </c>
      <c r="B13" t="s">
        <v>28</v>
      </c>
      <c r="C13" t="s">
        <v>31</v>
      </c>
      <c r="D13">
        <v>100000</v>
      </c>
      <c r="E13" t="s">
        <v>37</v>
      </c>
    </row>
    <row r="14" spans="1:5" x14ac:dyDescent="0.2">
      <c r="A14" s="1">
        <v>46327</v>
      </c>
      <c r="B14" t="s">
        <v>70</v>
      </c>
      <c r="C14" t="s">
        <v>71</v>
      </c>
      <c r="D14">
        <v>100000</v>
      </c>
      <c r="E14" t="s">
        <v>37</v>
      </c>
    </row>
    <row r="15" spans="1:5" x14ac:dyDescent="0.2">
      <c r="A15" s="1">
        <v>46337</v>
      </c>
      <c r="B15" t="s">
        <v>23</v>
      </c>
      <c r="D15">
        <v>250000</v>
      </c>
      <c r="E15" t="s">
        <v>25</v>
      </c>
    </row>
    <row r="16" spans="1:5" x14ac:dyDescent="0.2">
      <c r="A16" s="1">
        <v>46338</v>
      </c>
      <c r="B16" t="s">
        <v>24</v>
      </c>
      <c r="D16">
        <v>250000</v>
      </c>
      <c r="E1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2E5AF-02BC-D441-AA8F-C555626022DF}">
  <dimension ref="A2:C11"/>
  <sheetViews>
    <sheetView workbookViewId="0">
      <selection activeCell="C19" sqref="C19:C21"/>
    </sheetView>
  </sheetViews>
  <sheetFormatPr baseColWidth="10" defaultRowHeight="16" x14ac:dyDescent="0.2"/>
  <cols>
    <col min="2" max="2" width="18.6640625" bestFit="1" customWidth="1"/>
    <col min="3" max="3" width="11.5" bestFit="1" customWidth="1"/>
  </cols>
  <sheetData>
    <row r="2" spans="1:3" x14ac:dyDescent="0.2">
      <c r="A2" t="s">
        <v>47</v>
      </c>
      <c r="B2" t="s">
        <v>18</v>
      </c>
      <c r="C2" t="s">
        <v>10</v>
      </c>
    </row>
    <row r="3" spans="1:3" x14ac:dyDescent="0.2">
      <c r="A3" s="1">
        <v>46328</v>
      </c>
      <c r="B3" t="s">
        <v>13</v>
      </c>
      <c r="C3">
        <f>15000000/12</f>
        <v>1250000</v>
      </c>
    </row>
    <row r="4" spans="1:3" x14ac:dyDescent="0.2">
      <c r="A4" s="1">
        <v>46328</v>
      </c>
      <c r="B4" t="s">
        <v>14</v>
      </c>
      <c r="C4">
        <v>203000</v>
      </c>
    </row>
    <row r="5" spans="1:3" x14ac:dyDescent="0.2">
      <c r="A5" s="1">
        <v>46328</v>
      </c>
      <c r="B5" t="s">
        <v>15</v>
      </c>
      <c r="C5">
        <v>319150</v>
      </c>
    </row>
    <row r="6" spans="1:3" x14ac:dyDescent="0.2">
      <c r="A6" s="1">
        <v>46328</v>
      </c>
      <c r="B6" t="s">
        <v>16</v>
      </c>
      <c r="C6">
        <v>259475</v>
      </c>
    </row>
    <row r="7" spans="1:3" x14ac:dyDescent="0.2">
      <c r="A7" s="1">
        <v>46332</v>
      </c>
      <c r="B7" t="s">
        <v>17</v>
      </c>
      <c r="C7">
        <v>1600000</v>
      </c>
    </row>
    <row r="8" spans="1:3" x14ac:dyDescent="0.2">
      <c r="A8" s="1">
        <v>46332</v>
      </c>
      <c r="B8" t="s">
        <v>20</v>
      </c>
      <c r="C8">
        <v>102500</v>
      </c>
    </row>
    <row r="9" spans="1:3" x14ac:dyDescent="0.2">
      <c r="A9" s="1">
        <v>46332</v>
      </c>
      <c r="B9" t="s">
        <v>19</v>
      </c>
      <c r="C9">
        <v>100000</v>
      </c>
    </row>
    <row r="10" spans="1:3" x14ac:dyDescent="0.2">
      <c r="A10" s="1">
        <v>46332</v>
      </c>
      <c r="B10" t="s">
        <v>21</v>
      </c>
      <c r="C10">
        <v>25000</v>
      </c>
    </row>
    <row r="11" spans="1:3" x14ac:dyDescent="0.2">
      <c r="A11" s="1">
        <v>46336</v>
      </c>
      <c r="B11" t="s">
        <v>22</v>
      </c>
      <c r="C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0D3D0-3C84-5A42-AA19-77A6DA48B828}">
  <dimension ref="A1:A16"/>
  <sheetViews>
    <sheetView workbookViewId="0">
      <selection activeCell="A5" sqref="A5"/>
    </sheetView>
  </sheetViews>
  <sheetFormatPr baseColWidth="10" defaultRowHeight="16" x14ac:dyDescent="0.2"/>
  <cols>
    <col min="1" max="1" width="18.6640625" bestFit="1" customWidth="1"/>
  </cols>
  <sheetData>
    <row r="1" spans="1:1" x14ac:dyDescent="0.2">
      <c r="A1" t="s">
        <v>8</v>
      </c>
    </row>
    <row r="2" spans="1:1" x14ac:dyDescent="0.2">
      <c r="A2" s="2" t="s">
        <v>28</v>
      </c>
    </row>
    <row r="3" spans="1:1" x14ac:dyDescent="0.2">
      <c r="A3" s="2" t="s">
        <v>29</v>
      </c>
    </row>
    <row r="4" spans="1:1" x14ac:dyDescent="0.2">
      <c r="A4" s="2" t="s">
        <v>61</v>
      </c>
    </row>
    <row r="5" spans="1:1" x14ac:dyDescent="0.2">
      <c r="A5" s="2" t="s">
        <v>12</v>
      </c>
    </row>
    <row r="6" spans="1:1" x14ac:dyDescent="0.2">
      <c r="A6" t="s">
        <v>13</v>
      </c>
    </row>
    <row r="7" spans="1:1" x14ac:dyDescent="0.2">
      <c r="A7" t="s">
        <v>14</v>
      </c>
    </row>
    <row r="8" spans="1:1" x14ac:dyDescent="0.2">
      <c r="A8" t="s">
        <v>15</v>
      </c>
    </row>
    <row r="9" spans="1:1" x14ac:dyDescent="0.2">
      <c r="A9" t="s">
        <v>16</v>
      </c>
    </row>
    <row r="10" spans="1:1" x14ac:dyDescent="0.2">
      <c r="A10" t="s">
        <v>17</v>
      </c>
    </row>
    <row r="11" spans="1:1" x14ac:dyDescent="0.2">
      <c r="A11" t="s">
        <v>20</v>
      </c>
    </row>
    <row r="12" spans="1:1" x14ac:dyDescent="0.2">
      <c r="A12" t="s">
        <v>19</v>
      </c>
    </row>
    <row r="13" spans="1:1" x14ac:dyDescent="0.2">
      <c r="A13" t="s">
        <v>21</v>
      </c>
    </row>
    <row r="14" spans="1:1" x14ac:dyDescent="0.2">
      <c r="A14" t="s">
        <v>22</v>
      </c>
    </row>
    <row r="15" spans="1:1" x14ac:dyDescent="0.2">
      <c r="A15" t="s">
        <v>23</v>
      </c>
    </row>
    <row r="16" spans="1:1" x14ac:dyDescent="0.2">
      <c r="A16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D63A-A126-C24A-9B4A-765D86C2F454}">
  <dimension ref="A1:I35"/>
  <sheetViews>
    <sheetView workbookViewId="0">
      <selection activeCell="C3" sqref="C3"/>
    </sheetView>
  </sheetViews>
  <sheetFormatPr baseColWidth="10" defaultRowHeight="16" x14ac:dyDescent="0.2"/>
  <cols>
    <col min="1" max="1" width="15.1640625" bestFit="1" customWidth="1"/>
    <col min="2" max="3" width="15.6640625" bestFit="1" customWidth="1"/>
    <col min="4" max="4" width="12" customWidth="1"/>
    <col min="5" max="5" width="10.83203125" bestFit="1" customWidth="1"/>
    <col min="6" max="6" width="11" bestFit="1" customWidth="1"/>
    <col min="8" max="8" width="18.6640625" bestFit="1" customWidth="1"/>
  </cols>
  <sheetData>
    <row r="1" spans="1:6" x14ac:dyDescent="0.2">
      <c r="A1" s="5" t="s">
        <v>48</v>
      </c>
    </row>
    <row r="2" spans="1:6" x14ac:dyDescent="0.2">
      <c r="B2" t="s">
        <v>49</v>
      </c>
      <c r="C2" t="s">
        <v>50</v>
      </c>
      <c r="D2" t="s">
        <v>51</v>
      </c>
      <c r="E2" t="s">
        <v>52</v>
      </c>
      <c r="F2" t="s">
        <v>53</v>
      </c>
    </row>
    <row r="3" spans="1:6" x14ac:dyDescent="0.2">
      <c r="B3" s="4">
        <f>SUM(Sales!B2:D8)</f>
        <v>13220000</v>
      </c>
      <c r="C3" s="4">
        <f>SUM(Expense!D2:D16)+SUM('Fix Cost'!C3:C11)</f>
        <v>10934125</v>
      </c>
      <c r="D3" s="4">
        <f>B3-C3</f>
        <v>2285875</v>
      </c>
      <c r="E3" s="3">
        <f>IF(B3=0,0,D3/B3)</f>
        <v>0.17291036308623298</v>
      </c>
      <c r="F3" s="4">
        <f>SUM(Sales!F2:F8)</f>
        <v>220000</v>
      </c>
    </row>
    <row r="5" spans="1:6" x14ac:dyDescent="0.2">
      <c r="A5" s="5" t="s">
        <v>54</v>
      </c>
    </row>
    <row r="6" spans="1:6" x14ac:dyDescent="0.2">
      <c r="B6" t="s">
        <v>25</v>
      </c>
      <c r="C6" t="s">
        <v>55</v>
      </c>
      <c r="D6" t="s">
        <v>38</v>
      </c>
    </row>
    <row r="7" spans="1:6" x14ac:dyDescent="0.2">
      <c r="B7" s="4">
        <f>SUM(Sales!B2:B8)</f>
        <v>5950000</v>
      </c>
      <c r="C7" s="4">
        <f>SUM(Sales!C2:C8)</f>
        <v>4620000</v>
      </c>
      <c r="D7" s="4">
        <f>SUM(Sales!D2:D8)</f>
        <v>2650000</v>
      </c>
    </row>
    <row r="8" spans="1:6" x14ac:dyDescent="0.2">
      <c r="B8" s="3">
        <f>SUM(Sales!B2:B8)/B3</f>
        <v>0.45007564296520425</v>
      </c>
      <c r="C8" s="3">
        <f>SUM(Sales!C2:C8)/B3</f>
        <v>0.34947049924357032</v>
      </c>
      <c r="D8" s="3">
        <f>SUM(Sales!D2:D8)/B3</f>
        <v>0.2004538577912254</v>
      </c>
    </row>
    <row r="10" spans="1:6" x14ac:dyDescent="0.2">
      <c r="A10" s="5" t="s">
        <v>56</v>
      </c>
    </row>
    <row r="20" spans="1:9" x14ac:dyDescent="0.2">
      <c r="A20" s="5" t="s">
        <v>57</v>
      </c>
    </row>
    <row r="21" spans="1:9" x14ac:dyDescent="0.2">
      <c r="H21" s="2" t="s">
        <v>28</v>
      </c>
      <c r="I21">
        <f>SUMIF(Expense!$B$2:$B$16,Dashboard!H21,Expense!$D$2:$D$16)</f>
        <v>355000</v>
      </c>
    </row>
    <row r="22" spans="1:9" x14ac:dyDescent="0.2">
      <c r="H22" s="2" t="s">
        <v>29</v>
      </c>
      <c r="I22">
        <f>SUMIF(Expense!$B$2:$B$16,Dashboard!H22,Expense!$D$2:$D$16)</f>
        <v>70000</v>
      </c>
    </row>
    <row r="23" spans="1:9" x14ac:dyDescent="0.2">
      <c r="H23" s="2" t="s">
        <v>12</v>
      </c>
      <c r="I23">
        <f>SUMIF(Expense!$B$2:$B$16,Dashboard!H23,Expense!$D$2:$D$16)</f>
        <v>6050000</v>
      </c>
    </row>
    <row r="24" spans="1:9" x14ac:dyDescent="0.2">
      <c r="H24" s="2" t="s">
        <v>70</v>
      </c>
      <c r="I24">
        <f>SUMIF(Expense!$B$2:$B$16,Dashboard!H24,Expense!$D$2:$D$16)</f>
        <v>100000</v>
      </c>
    </row>
    <row r="25" spans="1:9" x14ac:dyDescent="0.2">
      <c r="H25" t="s">
        <v>13</v>
      </c>
      <c r="I25">
        <f>SUMIF(Expense!$B$2:$B$13,Dashboard!H25,Expense!$D$2:$D$13)</f>
        <v>0</v>
      </c>
    </row>
    <row r="26" spans="1:9" x14ac:dyDescent="0.2">
      <c r="H26" t="s">
        <v>14</v>
      </c>
      <c r="I26">
        <f>SUMIF(Expense!$B$2:$B$13,Dashboard!H26,Expense!$D$2:$D$13)</f>
        <v>0</v>
      </c>
    </row>
    <row r="27" spans="1:9" x14ac:dyDescent="0.2">
      <c r="H27" t="s">
        <v>15</v>
      </c>
      <c r="I27">
        <f>SUMIF(Expense!$B$2:$B$13,Dashboard!H27,Expense!$D$2:$D$13)</f>
        <v>0</v>
      </c>
    </row>
    <row r="28" spans="1:9" x14ac:dyDescent="0.2">
      <c r="H28" t="s">
        <v>16</v>
      </c>
      <c r="I28">
        <f>SUMIF(Expense!$B$2:$B$13,Dashboard!H28,Expense!$D$2:$D$13)</f>
        <v>0</v>
      </c>
    </row>
    <row r="29" spans="1:9" x14ac:dyDescent="0.2">
      <c r="H29" t="s">
        <v>17</v>
      </c>
      <c r="I29">
        <f>SUMIF(Expense!$B$2:$B$13,Dashboard!H29,Expense!$D$2:$D$13)</f>
        <v>0</v>
      </c>
    </row>
    <row r="30" spans="1:9" x14ac:dyDescent="0.2">
      <c r="A30" s="5" t="s">
        <v>58</v>
      </c>
      <c r="H30" t="s">
        <v>20</v>
      </c>
      <c r="I30">
        <f>SUMIF(Expense!$B$2:$B$13,Dashboard!H30,Expense!$D$2:$D$13)</f>
        <v>0</v>
      </c>
    </row>
    <row r="31" spans="1:9" x14ac:dyDescent="0.2">
      <c r="H31" t="s">
        <v>19</v>
      </c>
      <c r="I31">
        <f>SUMIF(Expense!$B$2:$B$13,Dashboard!H31,Expense!$D$2:$D$13)</f>
        <v>0</v>
      </c>
    </row>
    <row r="32" spans="1:9" x14ac:dyDescent="0.2">
      <c r="H32" t="s">
        <v>21</v>
      </c>
      <c r="I32">
        <f>SUMIF(Expense!$B$2:$B$13,Dashboard!H32,Expense!$D$2:$D$13)</f>
        <v>0</v>
      </c>
    </row>
    <row r="33" spans="8:9" x14ac:dyDescent="0.2">
      <c r="H33" t="s">
        <v>22</v>
      </c>
      <c r="I33">
        <f>SUMIF(Expense!$B$2:$B$13,Dashboard!H33,Expense!$D$2:$D$13)</f>
        <v>0</v>
      </c>
    </row>
    <row r="34" spans="8:9" x14ac:dyDescent="0.2">
      <c r="H34" t="s">
        <v>23</v>
      </c>
      <c r="I34">
        <f>SUMIF(Expense!$B$2:$B$13,Dashboard!H34,Expense!$D$2:$D$13)</f>
        <v>0</v>
      </c>
    </row>
    <row r="35" spans="8:9" x14ac:dyDescent="0.2">
      <c r="H35" t="s">
        <v>24</v>
      </c>
      <c r="I35">
        <f>SUMIF(Expense!$B$2:$B$13,Dashboard!H35,Expense!$D$2:$D$13)</f>
        <v>0</v>
      </c>
    </row>
  </sheetData>
  <conditionalFormatting sqref="D3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221C-E2F1-214C-90A7-6453F65F4EFA}">
  <dimension ref="A1:D31"/>
  <sheetViews>
    <sheetView workbookViewId="0">
      <selection activeCell="A18" sqref="A18"/>
    </sheetView>
  </sheetViews>
  <sheetFormatPr baseColWidth="10" defaultRowHeight="16" x14ac:dyDescent="0.2"/>
  <cols>
    <col min="1" max="1" width="34.6640625" bestFit="1" customWidth="1"/>
    <col min="2" max="2" width="13" customWidth="1"/>
    <col min="3" max="4" width="11.5" bestFit="1" customWidth="1"/>
  </cols>
  <sheetData>
    <row r="1" spans="1:4" x14ac:dyDescent="0.2">
      <c r="A1" t="s">
        <v>60</v>
      </c>
    </row>
    <row r="2" spans="1:4" x14ac:dyDescent="0.2">
      <c r="A2" t="s">
        <v>25</v>
      </c>
      <c r="B2" s="4">
        <f>SUM(Sales!B2:B8)</f>
        <v>5950000</v>
      </c>
    </row>
    <row r="3" spans="1:4" x14ac:dyDescent="0.2">
      <c r="A3" t="s">
        <v>37</v>
      </c>
      <c r="B3" s="4">
        <f>SUM(Sales!C2:C8)</f>
        <v>4620000</v>
      </c>
    </row>
    <row r="4" spans="1:4" x14ac:dyDescent="0.2">
      <c r="A4" t="s">
        <v>38</v>
      </c>
      <c r="B4" s="4">
        <f>SUM(Sales!D2:D8)</f>
        <v>2650000</v>
      </c>
    </row>
    <row r="5" spans="1:4" x14ac:dyDescent="0.2">
      <c r="A5" t="s">
        <v>49</v>
      </c>
      <c r="B5" s="4">
        <f>SUM(B2:B4)</f>
        <v>13220000</v>
      </c>
      <c r="D5" s="4"/>
    </row>
    <row r="6" spans="1:4" x14ac:dyDescent="0.2">
      <c r="B6" s="4"/>
    </row>
    <row r="7" spans="1:4" x14ac:dyDescent="0.2">
      <c r="A7" t="s">
        <v>59</v>
      </c>
      <c r="B7" s="4"/>
    </row>
    <row r="8" spans="1:4" x14ac:dyDescent="0.2">
      <c r="A8" t="s">
        <v>12</v>
      </c>
      <c r="B8" s="4">
        <f>SUMIF(Expense!B2:B13,"bahan baku",Expense!D2:D13)</f>
        <v>6050000</v>
      </c>
    </row>
    <row r="9" spans="1:4" x14ac:dyDescent="0.2">
      <c r="A9" t="s">
        <v>28</v>
      </c>
      <c r="B9" s="4">
        <f>SUMIF(Expense!B2:B13,"bahan minum",Expense!D2:D13)</f>
        <v>355000</v>
      </c>
    </row>
    <row r="10" spans="1:4" x14ac:dyDescent="0.2">
      <c r="A10" t="s">
        <v>29</v>
      </c>
      <c r="B10" s="4">
        <f>SUMIF(Expense!B2:B13,"bahan masak",Expense!D2:D13)</f>
        <v>70000</v>
      </c>
    </row>
    <row r="11" spans="1:4" x14ac:dyDescent="0.2">
      <c r="A11" t="s">
        <v>62</v>
      </c>
      <c r="B11" s="4">
        <f>SUMIF(Expense!B2:B16,"bahan bungkus",Expense!D2:D16)</f>
        <v>100000</v>
      </c>
    </row>
    <row r="12" spans="1:4" x14ac:dyDescent="0.2">
      <c r="A12" t="s">
        <v>63</v>
      </c>
      <c r="B12" s="4">
        <f>SUM(B8:B11)</f>
        <v>6575000</v>
      </c>
      <c r="D12" s="4"/>
    </row>
    <row r="13" spans="1:4" x14ac:dyDescent="0.2">
      <c r="B13" s="4"/>
    </row>
    <row r="14" spans="1:4" x14ac:dyDescent="0.2">
      <c r="A14" t="s">
        <v>64</v>
      </c>
      <c r="B14" s="4">
        <f>B5-B12</f>
        <v>6645000</v>
      </c>
      <c r="D14" s="4"/>
    </row>
    <row r="15" spans="1:4" x14ac:dyDescent="0.2">
      <c r="A15" t="s">
        <v>65</v>
      </c>
      <c r="B15" s="3">
        <f>B14/B5</f>
        <v>0.50264750378214829</v>
      </c>
      <c r="D15" s="3"/>
    </row>
    <row r="17" spans="1:4" x14ac:dyDescent="0.2">
      <c r="A17" t="s">
        <v>80</v>
      </c>
    </row>
    <row r="18" spans="1:4" x14ac:dyDescent="0.2">
      <c r="A18" t="s">
        <v>13</v>
      </c>
      <c r="B18" s="4">
        <f>SUMIF('Fix Cost'!$B$3:$B$11,"sewa",'Fix Cost'!$C$3:$C$11)</f>
        <v>1250000</v>
      </c>
      <c r="C18" s="4"/>
    </row>
    <row r="19" spans="1:4" x14ac:dyDescent="0.2">
      <c r="A19" t="s">
        <v>14</v>
      </c>
      <c r="B19" s="4">
        <f>SUMIF('Fix Cost'!$B$3:$B$11,"listrik",'Fix Cost'!$C$3:$C$11)</f>
        <v>203000</v>
      </c>
    </row>
    <row r="20" spans="1:4" x14ac:dyDescent="0.2">
      <c r="A20" t="s">
        <v>15</v>
      </c>
      <c r="B20" s="4">
        <f>SUMIF('Fix Cost'!$B$3:$B$11,"internet",'Fix Cost'!$C$3:$C$11)</f>
        <v>319150</v>
      </c>
    </row>
    <row r="21" spans="1:4" x14ac:dyDescent="0.2">
      <c r="A21" t="s">
        <v>16</v>
      </c>
      <c r="B21" s="4">
        <f>SUMIF('Fix Cost'!$B$3:$B$11,"aplikasi",'Fix Cost'!$C$3:$C$11)</f>
        <v>259475</v>
      </c>
      <c r="D21" s="4"/>
    </row>
    <row r="22" spans="1:4" x14ac:dyDescent="0.2">
      <c r="A22" t="s">
        <v>17</v>
      </c>
      <c r="B22" s="4">
        <f>SUMIF('Fix Cost'!$B$3:$B$11,"gaji per staf",'Fix Cost'!$C$3:$C$11)</f>
        <v>1600000</v>
      </c>
    </row>
    <row r="23" spans="1:4" x14ac:dyDescent="0.2">
      <c r="A23" t="s">
        <v>20</v>
      </c>
      <c r="B23" s="4">
        <f>SUMIF('Fix Cost'!$B$3:$B$11,"bpjs kesehatan",'Fix Cost'!$C$3:$C$11)</f>
        <v>102500</v>
      </c>
    </row>
    <row r="24" spans="1:4" x14ac:dyDescent="0.2">
      <c r="A24" t="s">
        <v>19</v>
      </c>
      <c r="B24" s="4">
        <f>SUMIF('Fix Cost'!$B$3:$B$11,"bpjs ketenagakerjaan",'Fix Cost'!$C$3:$C$11)</f>
        <v>100000</v>
      </c>
    </row>
    <row r="25" spans="1:4" x14ac:dyDescent="0.2">
      <c r="A25" t="s">
        <v>21</v>
      </c>
      <c r="B25" s="4">
        <f>SUMIF('Fix Cost'!$B$3:$B$11,"admin bank",'Fix Cost'!$C$3:$C$11)</f>
        <v>25000</v>
      </c>
    </row>
    <row r="26" spans="1:4" x14ac:dyDescent="0.2">
      <c r="A26" t="s">
        <v>23</v>
      </c>
      <c r="B26" s="4">
        <f>SUMIF(Expense!B2:B16,"operasional lain",Expense!D2:D16)</f>
        <v>250000</v>
      </c>
    </row>
    <row r="27" spans="1:4" x14ac:dyDescent="0.2">
      <c r="A27" t="s">
        <v>24</v>
      </c>
      <c r="B27" s="4">
        <f>SUMIF(Expense!B2:B16,"renovasi",Expense!D2:D16)</f>
        <v>250000</v>
      </c>
    </row>
    <row r="28" spans="1:4" x14ac:dyDescent="0.2">
      <c r="A28" t="s">
        <v>66</v>
      </c>
      <c r="B28" s="4">
        <f>SUM(B18:B27)</f>
        <v>4359125</v>
      </c>
      <c r="D28" s="4"/>
    </row>
    <row r="29" spans="1:4" x14ac:dyDescent="0.2">
      <c r="B29" s="4"/>
    </row>
    <row r="30" spans="1:4" x14ac:dyDescent="0.2">
      <c r="A30" t="s">
        <v>67</v>
      </c>
      <c r="B30" s="4">
        <f>B14-B28</f>
        <v>2285875</v>
      </c>
      <c r="D30" s="4"/>
    </row>
    <row r="31" spans="1:4" x14ac:dyDescent="0.2">
      <c r="A31" t="s">
        <v>68</v>
      </c>
      <c r="B31" s="3">
        <f>B30/B5</f>
        <v>0.17291036308623298</v>
      </c>
      <c r="D31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3D4AA-5D13-F042-9A2F-F90DDDB4C737}">
  <dimension ref="A1:C10"/>
  <sheetViews>
    <sheetView tabSelected="1" workbookViewId="0">
      <selection activeCell="C14" sqref="C14"/>
    </sheetView>
  </sheetViews>
  <sheetFormatPr baseColWidth="10" defaultRowHeight="16" x14ac:dyDescent="0.2"/>
  <cols>
    <col min="1" max="1" width="29" bestFit="1" customWidth="1"/>
    <col min="2" max="2" width="15" bestFit="1" customWidth="1"/>
  </cols>
  <sheetData>
    <row r="1" spans="1:3" x14ac:dyDescent="0.2">
      <c r="A1" t="s">
        <v>72</v>
      </c>
      <c r="B1" s="4">
        <f>LabaRugi!B28</f>
        <v>4359125</v>
      </c>
    </row>
    <row r="2" spans="1:3" x14ac:dyDescent="0.2">
      <c r="A2" t="s">
        <v>65</v>
      </c>
      <c r="B2" s="6">
        <f>LabaRugi!B15</f>
        <v>0.50264750378214829</v>
      </c>
    </row>
    <row r="4" spans="1:3" x14ac:dyDescent="0.2">
      <c r="A4" t="s">
        <v>73</v>
      </c>
      <c r="B4" s="4">
        <f>LabaRugi!B28/LabaRugi!B15</f>
        <v>8672329.947328819</v>
      </c>
    </row>
    <row r="5" spans="1:3" x14ac:dyDescent="0.2">
      <c r="A5" t="s">
        <v>74</v>
      </c>
      <c r="B5" s="4">
        <f>B4/30</f>
        <v>289077.66491096065</v>
      </c>
    </row>
    <row r="7" spans="1:3" x14ac:dyDescent="0.2">
      <c r="A7" t="s">
        <v>75</v>
      </c>
      <c r="B7" t="s">
        <v>76</v>
      </c>
      <c r="C7" t="s">
        <v>67</v>
      </c>
    </row>
    <row r="8" spans="1:3" x14ac:dyDescent="0.2">
      <c r="A8" t="s">
        <v>77</v>
      </c>
      <c r="B8" s="4">
        <f>B4*0.8</f>
        <v>6937863.9578630552</v>
      </c>
      <c r="C8" s="4">
        <f>B8*LabaRugi!B15-LabaRugi!B28</f>
        <v>-871824.99999999953</v>
      </c>
    </row>
    <row r="9" spans="1:3" x14ac:dyDescent="0.2">
      <c r="A9" t="s">
        <v>78</v>
      </c>
      <c r="B9" s="4">
        <f>B4*1.2</f>
        <v>10406795.936794583</v>
      </c>
      <c r="C9" s="4">
        <f>B9*LabaRugi!B15-LabaRugi!B28</f>
        <v>871825</v>
      </c>
    </row>
    <row r="10" spans="1:3" x14ac:dyDescent="0.2">
      <c r="A10" t="s">
        <v>79</v>
      </c>
      <c r="B10" s="4">
        <f>B4*1.6</f>
        <v>13875727.91572611</v>
      </c>
      <c r="C10" s="4">
        <f>B10*LabaRugi!B15-LabaRugi!B28</f>
        <v>2615475.0000000009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A397-A1DC-1641-B1B3-7C11BDC3F56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</vt:lpstr>
      <vt:lpstr>Expense</vt:lpstr>
      <vt:lpstr>Fix Cost</vt:lpstr>
      <vt:lpstr>Category</vt:lpstr>
      <vt:lpstr>Dashboard</vt:lpstr>
      <vt:lpstr>LabaRugi</vt:lpstr>
      <vt:lpstr>BreakEven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metodius waruwu</dc:creator>
  <cp:lastModifiedBy>metodius waruwu</cp:lastModifiedBy>
  <dcterms:created xsi:type="dcterms:W3CDTF">2026-07-15T11:54:28Z</dcterms:created>
  <dcterms:modified xsi:type="dcterms:W3CDTF">2026-08-04T10:19:56Z</dcterms:modified>
</cp:coreProperties>
</file>